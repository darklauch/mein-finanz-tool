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mwgroup-my.sharepoint.com/personal/tobias_mielke_bmw_de/Documents/Desktop/"/>
    </mc:Choice>
  </mc:AlternateContent>
  <xr:revisionPtr revIDLastSave="228" documentId="13_ncr:1_{882703B6-DC12-429E-B778-2E80F65D6980}" xr6:coauthVersionLast="47" xr6:coauthVersionMax="47" xr10:uidLastSave="{A22B5628-A08B-4765-AD5C-8739F561E129}"/>
  <bookViews>
    <workbookView xWindow="3900" yWindow="3900" windowWidth="28800" windowHeight="15345" tabRatio="872" activeTab="2" xr2:uid="{00000000-000D-0000-FFFF-FFFF00000000}"/>
  </bookViews>
  <sheets>
    <sheet name="Finanzen_Overall" sheetId="1" r:id="rId1"/>
    <sheet name="Haushalt (Cash)" sheetId="11" r:id="rId2"/>
    <sheet name="Finanzierung&amp;Mietkalkulation" sheetId="6" r:id="rId3"/>
    <sheet name="(SOLL) Prognosekurve" sheetId="3" r:id="rId4"/>
    <sheet name="(SOLL) Prognosekurve (mit AVD)" sheetId="12" r:id="rId5"/>
    <sheet name="TilgungsRechner" sheetId="8" r:id="rId6"/>
    <sheet name="Alternativszenario 1" sheetId="9" r:id="rId7"/>
    <sheet name="Alternativszenario 2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1" l="1"/>
  <c r="M42" i="1"/>
  <c r="F42" i="1"/>
  <c r="E42" i="1"/>
  <c r="E55" i="1"/>
  <c r="M32" i="1"/>
  <c r="F32" i="1"/>
  <c r="E32" i="1"/>
  <c r="C66" i="1"/>
  <c r="C67" i="1" s="1"/>
  <c r="D32" i="1"/>
  <c r="C32" i="1"/>
  <c r="B58" i="1"/>
  <c r="C58" i="1"/>
  <c r="D58" i="1"/>
  <c r="F55" i="1"/>
  <c r="C55" i="1"/>
  <c r="D55" i="1"/>
  <c r="Q5" i="11"/>
  <c r="Q6" i="11"/>
  <c r="Q14" i="11"/>
  <c r="Q9" i="11"/>
  <c r="Q43" i="11"/>
  <c r="Q51" i="11"/>
  <c r="Q8" i="11"/>
  <c r="Q7" i="11"/>
  <c r="F52" i="12"/>
  <c r="G52" i="12" s="1"/>
  <c r="H52" i="12" s="1"/>
  <c r="I52" i="12" s="1"/>
  <c r="J52" i="12" s="1"/>
  <c r="K52" i="12" s="1"/>
  <c r="L52" i="12" s="1"/>
  <c r="M52" i="12" s="1"/>
  <c r="N52" i="12" s="1"/>
  <c r="O52" i="12" s="1"/>
  <c r="P52" i="12" s="1"/>
  <c r="Q52" i="12" s="1"/>
  <c r="R52" i="12" s="1"/>
  <c r="S52" i="12" s="1"/>
  <c r="T52" i="12" s="1"/>
  <c r="U52" i="12" s="1"/>
  <c r="V52" i="12" s="1"/>
  <c r="W52" i="12" s="1"/>
  <c r="X52" i="12" s="1"/>
  <c r="Y52" i="12" s="1"/>
  <c r="Z52" i="12" s="1"/>
  <c r="AA52" i="12" s="1"/>
  <c r="AB52" i="12" s="1"/>
  <c r="AC52" i="12" s="1"/>
  <c r="AD52" i="12" s="1"/>
  <c r="AE52" i="12" s="1"/>
  <c r="G51" i="12"/>
  <c r="H51" i="12" s="1"/>
  <c r="I51" i="12" s="1"/>
  <c r="J51" i="12" s="1"/>
  <c r="K51" i="12" s="1"/>
  <c r="L51" i="12" s="1"/>
  <c r="M51" i="12" s="1"/>
  <c r="N51" i="12" s="1"/>
  <c r="O51" i="12" s="1"/>
  <c r="P51" i="12" s="1"/>
  <c r="Q51" i="12" s="1"/>
  <c r="R51" i="12" s="1"/>
  <c r="S51" i="12" s="1"/>
  <c r="T51" i="12" s="1"/>
  <c r="U51" i="12" s="1"/>
  <c r="V51" i="12" s="1"/>
  <c r="W51" i="12" s="1"/>
  <c r="X51" i="12" s="1"/>
  <c r="Y51" i="12" s="1"/>
  <c r="Z51" i="12" s="1"/>
  <c r="AA51" i="12" s="1"/>
  <c r="AB51" i="12" s="1"/>
  <c r="AC51" i="12" s="1"/>
  <c r="AD51" i="12" s="1"/>
  <c r="AE51" i="12" s="1"/>
  <c r="F51" i="12"/>
  <c r="E76" i="12"/>
  <c r="E79" i="12" s="1"/>
  <c r="E69" i="12"/>
  <c r="E72" i="12" s="1"/>
  <c r="D56" i="12"/>
  <c r="D60" i="12" s="1"/>
  <c r="D54" i="12"/>
  <c r="E48" i="12"/>
  <c r="F48" i="12" s="1"/>
  <c r="G48" i="12" s="1"/>
  <c r="H48" i="12" s="1"/>
  <c r="I48" i="12" s="1"/>
  <c r="J48" i="12" s="1"/>
  <c r="K48" i="12" s="1"/>
  <c r="L48" i="12" s="1"/>
  <c r="M48" i="12" s="1"/>
  <c r="N48" i="12" s="1"/>
  <c r="O48" i="12" s="1"/>
  <c r="P48" i="12" s="1"/>
  <c r="Q48" i="12" s="1"/>
  <c r="R48" i="12" s="1"/>
  <c r="S48" i="12" s="1"/>
  <c r="T48" i="12" s="1"/>
  <c r="U48" i="12" s="1"/>
  <c r="V48" i="12" s="1"/>
  <c r="W48" i="12" s="1"/>
  <c r="X48" i="12" s="1"/>
  <c r="Y48" i="12" s="1"/>
  <c r="Z48" i="12" s="1"/>
  <c r="AA48" i="12" s="1"/>
  <c r="AB48" i="12" s="1"/>
  <c r="AC48" i="12" s="1"/>
  <c r="AD48" i="12" s="1"/>
  <c r="AE48" i="12" s="1"/>
  <c r="E45" i="12"/>
  <c r="F45" i="12" s="1"/>
  <c r="AE43" i="12"/>
  <c r="AD43" i="12"/>
  <c r="AC43" i="12"/>
  <c r="AB43" i="12"/>
  <c r="AA43" i="12"/>
  <c r="Z43" i="12"/>
  <c r="Y43" i="12"/>
  <c r="X43" i="12"/>
  <c r="W43" i="12"/>
  <c r="T43" i="12"/>
  <c r="D43" i="12"/>
  <c r="U42" i="12"/>
  <c r="V42" i="12" s="1"/>
  <c r="V43" i="12" s="1"/>
  <c r="E42" i="12"/>
  <c r="D38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B34" i="12"/>
  <c r="C34" i="12" s="1"/>
  <c r="B15" i="12"/>
  <c r="E39" i="12" s="1"/>
  <c r="F39" i="12" s="1"/>
  <c r="P7" i="12"/>
  <c r="P15" i="12" s="1"/>
  <c r="P16" i="12" s="1"/>
  <c r="O7" i="12"/>
  <c r="O15" i="12" s="1"/>
  <c r="O16" i="12" s="1"/>
  <c r="B7" i="12"/>
  <c r="B10" i="12" s="1"/>
  <c r="M46" i="1"/>
  <c r="M30" i="1"/>
  <c r="M40" i="1" s="1"/>
  <c r="M56" i="1" s="1"/>
  <c r="M7" i="1"/>
  <c r="M31" i="1" s="1"/>
  <c r="M34" i="1" s="1"/>
  <c r="M35" i="1" s="1"/>
  <c r="M36" i="1" s="1"/>
  <c r="K36" i="6"/>
  <c r="J35" i="6"/>
  <c r="K35" i="6" s="1"/>
  <c r="K34" i="6"/>
  <c r="E36" i="6"/>
  <c r="G36" i="6"/>
  <c r="F35" i="6"/>
  <c r="F37" i="6" s="1"/>
  <c r="F41" i="6" s="1"/>
  <c r="G42" i="6" s="1"/>
  <c r="G34" i="6"/>
  <c r="M36" i="6"/>
  <c r="R4" i="6"/>
  <c r="G13" i="6"/>
  <c r="O3" i="6"/>
  <c r="G158" i="8"/>
  <c r="G28" i="8"/>
  <c r="N28" i="8" s="1"/>
  <c r="G41" i="8"/>
  <c r="G54" i="8"/>
  <c r="G67" i="8"/>
  <c r="G80" i="8"/>
  <c r="G93" i="8"/>
  <c r="G106" i="8"/>
  <c r="G119" i="8"/>
  <c r="G132" i="8"/>
  <c r="G145" i="8"/>
  <c r="G171" i="8"/>
  <c r="G184" i="8"/>
  <c r="AE36" i="3"/>
  <c r="AD36" i="3"/>
  <c r="AC36" i="3"/>
  <c r="D51" i="3"/>
  <c r="D53" i="3"/>
  <c r="D57" i="3" s="1"/>
  <c r="E48" i="3"/>
  <c r="E49" i="3" s="1"/>
  <c r="E12" i="3" s="1"/>
  <c r="E13" i="3" s="1"/>
  <c r="D38" i="3"/>
  <c r="AB36" i="3"/>
  <c r="AA36" i="3"/>
  <c r="Z36" i="3"/>
  <c r="Y36" i="3"/>
  <c r="X36" i="3"/>
  <c r="W36" i="3"/>
  <c r="V36" i="3"/>
  <c r="U36" i="3"/>
  <c r="T36" i="3"/>
  <c r="S36" i="3"/>
  <c r="U42" i="3"/>
  <c r="V42" i="3" s="1"/>
  <c r="V43" i="3" s="1"/>
  <c r="E45" i="3"/>
  <c r="E46" i="3" s="1"/>
  <c r="D43" i="3"/>
  <c r="N43" i="11"/>
  <c r="N51" i="11" s="1"/>
  <c r="T45" i="1"/>
  <c r="U50" i="1"/>
  <c r="T48" i="1"/>
  <c r="E7" i="1"/>
  <c r="D7" i="1"/>
  <c r="C7" i="1"/>
  <c r="B7" i="1"/>
  <c r="B39" i="1" s="1"/>
  <c r="B55" i="1" s="1"/>
  <c r="F7" i="1"/>
  <c r="K16" i="11"/>
  <c r="K24" i="11" s="1"/>
  <c r="G13" i="11"/>
  <c r="P14" i="11"/>
  <c r="Q12" i="11"/>
  <c r="Q10" i="11"/>
  <c r="K43" i="11"/>
  <c r="K51" i="11" s="1"/>
  <c r="B15" i="3"/>
  <c r="E39" i="3" s="1"/>
  <c r="F39" i="3" s="1"/>
  <c r="G35" i="11"/>
  <c r="G12" i="11"/>
  <c r="N12" i="8"/>
  <c r="I59" i="10"/>
  <c r="M400" i="10"/>
  <c r="N400" i="10" s="1"/>
  <c r="N401" i="10" s="1"/>
  <c r="K400" i="10"/>
  <c r="F390" i="10"/>
  <c r="E390" i="10"/>
  <c r="F389" i="10"/>
  <c r="E389" i="10"/>
  <c r="F388" i="10"/>
  <c r="N384" i="10"/>
  <c r="M384" i="10"/>
  <c r="H384" i="10"/>
  <c r="F384" i="10"/>
  <c r="K381" i="10"/>
  <c r="O197" i="10"/>
  <c r="O184" i="10"/>
  <c r="O171" i="10"/>
  <c r="O158" i="10"/>
  <c r="O145" i="10"/>
  <c r="O132" i="10"/>
  <c r="O119" i="10"/>
  <c r="O106" i="10"/>
  <c r="O93" i="10"/>
  <c r="O80" i="10"/>
  <c r="O67" i="10"/>
  <c r="O54" i="10"/>
  <c r="O41" i="10"/>
  <c r="O28" i="10"/>
  <c r="J19" i="10"/>
  <c r="O15" i="10"/>
  <c r="D10" i="10"/>
  <c r="L6" i="10"/>
  <c r="K6" i="10"/>
  <c r="O3" i="10"/>
  <c r="P6" i="10" s="1"/>
  <c r="G3" i="10"/>
  <c r="G384" i="10" s="1"/>
  <c r="F46" i="1"/>
  <c r="E46" i="1"/>
  <c r="D46" i="1"/>
  <c r="C46" i="1"/>
  <c r="B46" i="1"/>
  <c r="P381" i="9"/>
  <c r="P369" i="9"/>
  <c r="P357" i="9"/>
  <c r="P345" i="9"/>
  <c r="P333" i="9"/>
  <c r="P321" i="9"/>
  <c r="P309" i="9"/>
  <c r="P297" i="9"/>
  <c r="P285" i="9"/>
  <c r="P273" i="9"/>
  <c r="P261" i="9"/>
  <c r="P249" i="9"/>
  <c r="P237" i="9"/>
  <c r="P225" i="9"/>
  <c r="P213" i="9"/>
  <c r="N8" i="8"/>
  <c r="N9" i="8"/>
  <c r="I381" i="9"/>
  <c r="J381" i="9"/>
  <c r="J369" i="9"/>
  <c r="J357" i="9"/>
  <c r="J345" i="9"/>
  <c r="J333" i="9"/>
  <c r="J321" i="9"/>
  <c r="J309" i="9"/>
  <c r="J297" i="9"/>
  <c r="J285" i="9"/>
  <c r="J273" i="9"/>
  <c r="J261" i="9"/>
  <c r="J249" i="9"/>
  <c r="J237" i="9"/>
  <c r="J225" i="9"/>
  <c r="J213" i="9"/>
  <c r="J201" i="9"/>
  <c r="J188" i="9"/>
  <c r="J175" i="9"/>
  <c r="J162" i="9"/>
  <c r="J149" i="9"/>
  <c r="J136" i="9"/>
  <c r="J123" i="9"/>
  <c r="J110" i="9"/>
  <c r="J97" i="9"/>
  <c r="J84" i="9"/>
  <c r="J71" i="9"/>
  <c r="J58" i="9"/>
  <c r="J45" i="9"/>
  <c r="J32" i="9"/>
  <c r="J19" i="9"/>
  <c r="I32" i="9"/>
  <c r="I33" i="9" s="1"/>
  <c r="I34" i="9" s="1"/>
  <c r="I35" i="9" s="1"/>
  <c r="I36" i="9" s="1"/>
  <c r="I37" i="9" s="1"/>
  <c r="I38" i="9" s="1"/>
  <c r="I39" i="9" s="1"/>
  <c r="I40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5" i="9" s="1"/>
  <c r="F389" i="9"/>
  <c r="E389" i="9"/>
  <c r="K37" i="6" l="1"/>
  <c r="E6" i="3"/>
  <c r="E7" i="3" s="1"/>
  <c r="E49" i="12"/>
  <c r="F49" i="12" s="1"/>
  <c r="G49" i="12" s="1"/>
  <c r="H49" i="12" s="1"/>
  <c r="I49" i="12" s="1"/>
  <c r="J49" i="12" s="1"/>
  <c r="K49" i="12" s="1"/>
  <c r="L49" i="12" s="1"/>
  <c r="M49" i="12" s="1"/>
  <c r="N49" i="12" s="1"/>
  <c r="O49" i="12" s="1"/>
  <c r="P49" i="12" s="1"/>
  <c r="Q49" i="12" s="1"/>
  <c r="R49" i="12" s="1"/>
  <c r="S49" i="12" s="1"/>
  <c r="T49" i="12" s="1"/>
  <c r="U49" i="12" s="1"/>
  <c r="V49" i="12" s="1"/>
  <c r="W49" i="12" s="1"/>
  <c r="X49" i="12" s="1"/>
  <c r="Y49" i="12" s="1"/>
  <c r="Z49" i="12" s="1"/>
  <c r="AA49" i="12" s="1"/>
  <c r="AB49" i="12" s="1"/>
  <c r="AC49" i="12" s="1"/>
  <c r="AD49" i="12" s="1"/>
  <c r="AE49" i="12" s="1"/>
  <c r="E46" i="12"/>
  <c r="E38" i="12"/>
  <c r="F38" i="12" s="1"/>
  <c r="E43" i="12"/>
  <c r="U43" i="12"/>
  <c r="F40" i="12"/>
  <c r="G45" i="12"/>
  <c r="F46" i="12"/>
  <c r="B16" i="12"/>
  <c r="B18" i="12" s="1"/>
  <c r="E40" i="12"/>
  <c r="M39" i="1"/>
  <c r="M55" i="1" s="1"/>
  <c r="M41" i="1"/>
  <c r="M45" i="1" s="1"/>
  <c r="M49" i="1" s="1"/>
  <c r="M51" i="1" s="1"/>
  <c r="M53" i="1" s="1"/>
  <c r="T50" i="1"/>
  <c r="U51" i="1" s="1"/>
  <c r="J37" i="6"/>
  <c r="J41" i="6" s="1"/>
  <c r="K42" i="6" s="1"/>
  <c r="J53" i="6"/>
  <c r="K53" i="6" s="1"/>
  <c r="K54" i="6" s="1"/>
  <c r="G39" i="6"/>
  <c r="G38" i="6"/>
  <c r="F53" i="6"/>
  <c r="G53" i="6" s="1"/>
  <c r="G54" i="6" s="1"/>
  <c r="F42" i="6"/>
  <c r="G41" i="6"/>
  <c r="G35" i="6"/>
  <c r="G37" i="6" s="1"/>
  <c r="G39" i="11"/>
  <c r="G40" i="11"/>
  <c r="K28" i="11"/>
  <c r="K38" i="11" s="1"/>
  <c r="F49" i="3"/>
  <c r="F48" i="3"/>
  <c r="G48" i="3" s="1"/>
  <c r="H48" i="3" s="1"/>
  <c r="I48" i="3" s="1"/>
  <c r="J48" i="3" s="1"/>
  <c r="K48" i="3" s="1"/>
  <c r="L48" i="3" s="1"/>
  <c r="M48" i="3" s="1"/>
  <c r="N48" i="3" s="1"/>
  <c r="O48" i="3" s="1"/>
  <c r="P48" i="3" s="1"/>
  <c r="Q48" i="3" s="1"/>
  <c r="R48" i="3" s="1"/>
  <c r="S48" i="3" s="1"/>
  <c r="T48" i="3" s="1"/>
  <c r="U48" i="3" s="1"/>
  <c r="V48" i="3" s="1"/>
  <c r="W48" i="3" s="1"/>
  <c r="X48" i="3" s="1"/>
  <c r="Y48" i="3" s="1"/>
  <c r="Z48" i="3" s="1"/>
  <c r="AA48" i="3" s="1"/>
  <c r="AB48" i="3" s="1"/>
  <c r="AC48" i="3" s="1"/>
  <c r="AD48" i="3" s="1"/>
  <c r="AE48" i="3" s="1"/>
  <c r="U43" i="3"/>
  <c r="W43" i="3"/>
  <c r="T43" i="3"/>
  <c r="K2" i="11"/>
  <c r="K12" i="11" s="1"/>
  <c r="C7" i="11" s="1"/>
  <c r="I33" i="10"/>
  <c r="J32" i="10"/>
  <c r="E10" i="10"/>
  <c r="O10" i="10"/>
  <c r="Q6" i="10"/>
  <c r="I56" i="9"/>
  <c r="I57" i="9"/>
  <c r="I58" i="9" s="1"/>
  <c r="I59" i="9" s="1"/>
  <c r="I60" i="9" s="1"/>
  <c r="I61" i="9" s="1"/>
  <c r="I62" i="9" s="1"/>
  <c r="I63" i="9" s="1"/>
  <c r="I64" i="9" s="1"/>
  <c r="I65" i="9" s="1"/>
  <c r="I66" i="9" s="1"/>
  <c r="I68" i="9" s="1"/>
  <c r="N217" i="8"/>
  <c r="N216" i="8"/>
  <c r="K400" i="9"/>
  <c r="M400" i="9" s="1"/>
  <c r="N400" i="9" s="1"/>
  <c r="N401" i="9" s="1"/>
  <c r="F388" i="9"/>
  <c r="F390" i="9"/>
  <c r="E390" i="9"/>
  <c r="N384" i="9"/>
  <c r="M384" i="9"/>
  <c r="H384" i="9"/>
  <c r="F384" i="9"/>
  <c r="O197" i="9"/>
  <c r="O184" i="9"/>
  <c r="O171" i="9"/>
  <c r="O158" i="9"/>
  <c r="O145" i="9"/>
  <c r="O132" i="9"/>
  <c r="O119" i="9"/>
  <c r="O106" i="9"/>
  <c r="O93" i="9"/>
  <c r="O80" i="9"/>
  <c r="O67" i="9"/>
  <c r="O54" i="9"/>
  <c r="O41" i="9"/>
  <c r="O28" i="9"/>
  <c r="O15" i="9"/>
  <c r="D10" i="9"/>
  <c r="L6" i="9"/>
  <c r="Q6" i="9" s="1"/>
  <c r="K6" i="9"/>
  <c r="O3" i="9"/>
  <c r="P6" i="9" s="1"/>
  <c r="G3" i="9"/>
  <c r="G384" i="9" s="1"/>
  <c r="E240" i="8"/>
  <c r="E237" i="8"/>
  <c r="E238" i="8" s="1"/>
  <c r="D233" i="8"/>
  <c r="E233" i="8" s="1"/>
  <c r="E234" i="8" s="1"/>
  <c r="L35" i="6"/>
  <c r="L37" i="6" s="1"/>
  <c r="M39" i="6" s="1"/>
  <c r="N3" i="8"/>
  <c r="O6" i="8" s="1"/>
  <c r="I214" i="8"/>
  <c r="C219" i="8" s="1"/>
  <c r="G215" i="8"/>
  <c r="G3" i="8"/>
  <c r="C227" i="8" s="1"/>
  <c r="R19" i="8"/>
  <c r="J6" i="8"/>
  <c r="N197" i="8"/>
  <c r="N15" i="8"/>
  <c r="M214" i="8"/>
  <c r="L214" i="8"/>
  <c r="H214" i="8"/>
  <c r="C226" i="8" s="1"/>
  <c r="K6" i="8"/>
  <c r="P6" i="8" s="1"/>
  <c r="S6" i="8" s="1"/>
  <c r="N184" i="8"/>
  <c r="N171" i="8"/>
  <c r="N158" i="8"/>
  <c r="N145" i="8"/>
  <c r="N132" i="8"/>
  <c r="N119" i="8"/>
  <c r="N106" i="8"/>
  <c r="N93" i="8"/>
  <c r="N80" i="8"/>
  <c r="N67" i="8"/>
  <c r="N54" i="8"/>
  <c r="N41" i="8"/>
  <c r="E59" i="6"/>
  <c r="F59" i="6" s="1"/>
  <c r="F58" i="6"/>
  <c r="B58" i="6"/>
  <c r="B61" i="6" s="1"/>
  <c r="O36" i="6"/>
  <c r="O34" i="6"/>
  <c r="M34" i="6"/>
  <c r="I36" i="6"/>
  <c r="I34" i="6"/>
  <c r="E34" i="6"/>
  <c r="C36" i="6"/>
  <c r="C34" i="6"/>
  <c r="N35" i="6"/>
  <c r="N53" i="6" s="1"/>
  <c r="O53" i="6" s="1"/>
  <c r="O54" i="6" s="1"/>
  <c r="H35" i="6"/>
  <c r="D35" i="6"/>
  <c r="B35" i="6"/>
  <c r="B37" i="6" s="1"/>
  <c r="C39" i="6" s="1"/>
  <c r="E73" i="3"/>
  <c r="E76" i="3" s="1"/>
  <c r="E66" i="3"/>
  <c r="E69" i="3" s="1"/>
  <c r="B16" i="3"/>
  <c r="B18" i="3" s="1"/>
  <c r="C30" i="1"/>
  <c r="C39" i="1"/>
  <c r="I26" i="6"/>
  <c r="I27" i="6" s="1"/>
  <c r="I28" i="6" s="1"/>
  <c r="O14" i="6"/>
  <c r="O13" i="6"/>
  <c r="O12" i="6"/>
  <c r="O11" i="6"/>
  <c r="O10" i="6"/>
  <c r="O9" i="6"/>
  <c r="O8" i="6"/>
  <c r="O7" i="6"/>
  <c r="O4" i="6"/>
  <c r="I13" i="6"/>
  <c r="B8" i="6"/>
  <c r="B30" i="1"/>
  <c r="B40" i="1" s="1"/>
  <c r="B56" i="1" s="1"/>
  <c r="D30" i="1"/>
  <c r="D40" i="1" s="1"/>
  <c r="D56" i="1" s="1"/>
  <c r="F30" i="1"/>
  <c r="F40" i="1" s="1"/>
  <c r="F56" i="1" s="1"/>
  <c r="P7" i="3"/>
  <c r="P15" i="3" s="1"/>
  <c r="P16" i="3" s="1"/>
  <c r="E39" i="1"/>
  <c r="B66" i="1"/>
  <c r="B67" i="1" s="1"/>
  <c r="F39" i="1"/>
  <c r="D39" i="1"/>
  <c r="O7" i="3"/>
  <c r="O15" i="3" s="1"/>
  <c r="O16" i="3" s="1"/>
  <c r="F45" i="3"/>
  <c r="E38" i="3"/>
  <c r="F38" i="3" s="1"/>
  <c r="B34" i="3"/>
  <c r="C34" i="3" s="1"/>
  <c r="B7" i="3"/>
  <c r="B10" i="3" s="1"/>
  <c r="P19" i="1"/>
  <c r="P21" i="1" s="1"/>
  <c r="D87" i="1"/>
  <c r="D83" i="1"/>
  <c r="L30" i="1"/>
  <c r="L40" i="1" s="1"/>
  <c r="K30" i="1"/>
  <c r="J30" i="1"/>
  <c r="I30" i="1"/>
  <c r="I40" i="1" s="1"/>
  <c r="H30" i="1"/>
  <c r="G30" i="1"/>
  <c r="I7" i="1"/>
  <c r="I39" i="1" s="1"/>
  <c r="I99" i="1"/>
  <c r="G99" i="1"/>
  <c r="B99" i="1"/>
  <c r="I87" i="1"/>
  <c r="I83" i="1"/>
  <c r="G87" i="1"/>
  <c r="G83" i="1"/>
  <c r="B87" i="1"/>
  <c r="B83" i="1"/>
  <c r="L7" i="1"/>
  <c r="L39" i="1" s="1"/>
  <c r="M57" i="1" l="1"/>
  <c r="M58" i="1" s="1"/>
  <c r="G38" i="11"/>
  <c r="D18" i="12" s="1"/>
  <c r="E34" i="3"/>
  <c r="E3" i="3" s="1"/>
  <c r="E34" i="12"/>
  <c r="G46" i="12"/>
  <c r="H45" i="12"/>
  <c r="M52" i="1"/>
  <c r="K41" i="6"/>
  <c r="J42" i="6"/>
  <c r="J51" i="6" s="1"/>
  <c r="K39" i="6"/>
  <c r="K38" i="6"/>
  <c r="J48" i="6"/>
  <c r="L41" i="6"/>
  <c r="M38" i="6"/>
  <c r="B41" i="6"/>
  <c r="C42" i="6" s="1"/>
  <c r="C38" i="6"/>
  <c r="M41" i="6"/>
  <c r="M42" i="6"/>
  <c r="F51" i="6"/>
  <c r="F48" i="6"/>
  <c r="F45" i="6"/>
  <c r="G16" i="6"/>
  <c r="G17" i="6" s="1"/>
  <c r="G49" i="3"/>
  <c r="X43" i="3"/>
  <c r="G45" i="3"/>
  <c r="F46" i="3"/>
  <c r="E40" i="3"/>
  <c r="C8" i="1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G15" i="11"/>
  <c r="C40" i="1"/>
  <c r="E10" i="8"/>
  <c r="E11" i="8" s="1"/>
  <c r="N10" i="8"/>
  <c r="C11" i="10"/>
  <c r="R6" i="10"/>
  <c r="I34" i="10"/>
  <c r="L42" i="6"/>
  <c r="L51" i="6" s="1"/>
  <c r="I35" i="6"/>
  <c r="I37" i="6" s="1"/>
  <c r="H37" i="6"/>
  <c r="I39" i="6" s="1"/>
  <c r="E35" i="6"/>
  <c r="E37" i="6" s="1"/>
  <c r="D37" i="6"/>
  <c r="E39" i="6" s="1"/>
  <c r="N37" i="6"/>
  <c r="O39" i="6" s="1"/>
  <c r="B53" i="6"/>
  <c r="C53" i="6" s="1"/>
  <c r="C54" i="6" s="1"/>
  <c r="C58" i="6"/>
  <c r="I70" i="9"/>
  <c r="I71" i="9" s="1"/>
  <c r="I72" i="9" s="1"/>
  <c r="I73" i="9" s="1"/>
  <c r="I74" i="9" s="1"/>
  <c r="I75" i="9" s="1"/>
  <c r="I76" i="9" s="1"/>
  <c r="I77" i="9" s="1"/>
  <c r="I78" i="9" s="1"/>
  <c r="I79" i="9" s="1"/>
  <c r="I81" i="9" s="1"/>
  <c r="I69" i="9"/>
  <c r="C220" i="8"/>
  <c r="E241" i="8"/>
  <c r="R6" i="9"/>
  <c r="O10" i="9"/>
  <c r="E10" i="9"/>
  <c r="B42" i="6"/>
  <c r="B48" i="6" s="1"/>
  <c r="G214" i="8"/>
  <c r="Q6" i="8"/>
  <c r="R32" i="8"/>
  <c r="N11" i="8"/>
  <c r="E61" i="6"/>
  <c r="F61" i="6" s="1"/>
  <c r="L53" i="6"/>
  <c r="M53" i="6" s="1"/>
  <c r="M54" i="6" s="1"/>
  <c r="H53" i="6"/>
  <c r="I53" i="6" s="1"/>
  <c r="I54" i="6" s="1"/>
  <c r="D53" i="6"/>
  <c r="E53" i="6" s="1"/>
  <c r="E54" i="6" s="1"/>
  <c r="C41" i="6"/>
  <c r="O35" i="6"/>
  <c r="O37" i="6" s="1"/>
  <c r="M35" i="6"/>
  <c r="M37" i="6" s="1"/>
  <c r="C35" i="6"/>
  <c r="C37" i="6" s="1"/>
  <c r="C61" i="6"/>
  <c r="C59" i="6"/>
  <c r="C31" i="1"/>
  <c r="E30" i="1"/>
  <c r="G42" i="1"/>
  <c r="H42" i="1" s="1"/>
  <c r="I42" i="1" s="1"/>
  <c r="J42" i="1" s="1"/>
  <c r="K42" i="1" s="1"/>
  <c r="L42" i="1" s="1"/>
  <c r="D41" i="1"/>
  <c r="D45" i="1" s="1"/>
  <c r="D89" i="1"/>
  <c r="D90" i="1" s="1"/>
  <c r="D31" i="1"/>
  <c r="D34" i="1" s="1"/>
  <c r="D35" i="1" s="1"/>
  <c r="D36" i="1" s="1"/>
  <c r="L41" i="1"/>
  <c r="I41" i="1"/>
  <c r="I31" i="1"/>
  <c r="I34" i="1" s="1"/>
  <c r="B89" i="1"/>
  <c r="B90" i="1" s="1"/>
  <c r="I89" i="1"/>
  <c r="I90" i="1" s="1"/>
  <c r="G89" i="1"/>
  <c r="G90" i="1" s="1"/>
  <c r="L31" i="1"/>
  <c r="L34" i="1" s="1"/>
  <c r="K40" i="1"/>
  <c r="H40" i="1"/>
  <c r="J40" i="1"/>
  <c r="G40" i="1"/>
  <c r="K7" i="1"/>
  <c r="K39" i="1" s="1"/>
  <c r="H7" i="1"/>
  <c r="H39" i="1" s="1"/>
  <c r="J7" i="1"/>
  <c r="J39" i="1" s="1"/>
  <c r="G7" i="1"/>
  <c r="G39" i="1" s="1"/>
  <c r="J45" i="6" l="1"/>
  <c r="E4" i="3"/>
  <c r="E56" i="12"/>
  <c r="E59" i="12"/>
  <c r="E55" i="12"/>
  <c r="E54" i="12"/>
  <c r="F34" i="12"/>
  <c r="D18" i="3"/>
  <c r="F34" i="3" s="1"/>
  <c r="H46" i="12"/>
  <c r="I45" i="12"/>
  <c r="C41" i="1"/>
  <c r="C45" i="1" s="1"/>
  <c r="C49" i="1" s="1"/>
  <c r="C51" i="1" s="1"/>
  <c r="C53" i="1" s="1"/>
  <c r="C56" i="1"/>
  <c r="D41" i="6"/>
  <c r="E41" i="6" s="1"/>
  <c r="E38" i="6"/>
  <c r="N41" i="6"/>
  <c r="O38" i="6"/>
  <c r="H41" i="6"/>
  <c r="I38" i="6"/>
  <c r="O41" i="6"/>
  <c r="O42" i="6"/>
  <c r="I41" i="6"/>
  <c r="I42" i="6"/>
  <c r="L45" i="6"/>
  <c r="H49" i="3"/>
  <c r="Y43" i="3"/>
  <c r="H45" i="3"/>
  <c r="G46" i="3"/>
  <c r="F40" i="3"/>
  <c r="D49" i="1"/>
  <c r="D51" i="1" s="1"/>
  <c r="D53" i="1" s="1"/>
  <c r="E40" i="1"/>
  <c r="I35" i="10"/>
  <c r="D11" i="10"/>
  <c r="N42" i="6"/>
  <c r="H42" i="6"/>
  <c r="H51" i="6" s="1"/>
  <c r="L48" i="6"/>
  <c r="B51" i="6"/>
  <c r="I83" i="9"/>
  <c r="I84" i="9" s="1"/>
  <c r="I85" i="9" s="1"/>
  <c r="I86" i="9" s="1"/>
  <c r="I87" i="9" s="1"/>
  <c r="I88" i="9" s="1"/>
  <c r="I89" i="9" s="1"/>
  <c r="I90" i="9" s="1"/>
  <c r="I91" i="9" s="1"/>
  <c r="I92" i="9" s="1"/>
  <c r="I94" i="9" s="1"/>
  <c r="I82" i="9"/>
  <c r="C11" i="9"/>
  <c r="B45" i="6"/>
  <c r="R45" i="8"/>
  <c r="C34" i="1"/>
  <c r="C35" i="1" s="1"/>
  <c r="C36" i="1" s="1"/>
  <c r="E31" i="1"/>
  <c r="E34" i="1" s="1"/>
  <c r="L45" i="1"/>
  <c r="L51" i="1" s="1"/>
  <c r="L53" i="1" s="1"/>
  <c r="I45" i="1"/>
  <c r="I51" i="1" s="1"/>
  <c r="I53" i="1" s="1"/>
  <c r="B41" i="1"/>
  <c r="B45" i="1" s="1"/>
  <c r="B31" i="1"/>
  <c r="B34" i="1" s="1"/>
  <c r="J41" i="1"/>
  <c r="J45" i="1" s="1"/>
  <c r="J51" i="1" s="1"/>
  <c r="J53" i="1" s="1"/>
  <c r="K41" i="1"/>
  <c r="K45" i="1" s="1"/>
  <c r="G41" i="1"/>
  <c r="G45" i="1" s="1"/>
  <c r="H41" i="1"/>
  <c r="H45" i="1" s="1"/>
  <c r="F41" i="1"/>
  <c r="F45" i="1" s="1"/>
  <c r="F31" i="1"/>
  <c r="F34" i="1" s="1"/>
  <c r="H31" i="1"/>
  <c r="H34" i="1" s="1"/>
  <c r="J31" i="1"/>
  <c r="J34" i="1" s="1"/>
  <c r="K31" i="1"/>
  <c r="K34" i="1" s="1"/>
  <c r="G31" i="1"/>
  <c r="G34" i="1" s="1"/>
  <c r="E57" i="12" l="1"/>
  <c r="E58" i="12" s="1"/>
  <c r="E60" i="12"/>
  <c r="E61" i="12" s="1"/>
  <c r="F35" i="12"/>
  <c r="G34" i="12" s="1"/>
  <c r="I46" i="12"/>
  <c r="J45" i="12"/>
  <c r="Q40" i="1"/>
  <c r="E56" i="1"/>
  <c r="E41" i="1"/>
  <c r="E45" i="1" s="1"/>
  <c r="E49" i="1" s="1"/>
  <c r="E51" i="1" s="1"/>
  <c r="E53" i="1" s="1"/>
  <c r="D57" i="1"/>
  <c r="C57" i="1"/>
  <c r="E42" i="6"/>
  <c r="D42" i="6"/>
  <c r="D48" i="6" s="1"/>
  <c r="I49" i="3"/>
  <c r="Z43" i="3"/>
  <c r="F35" i="3"/>
  <c r="I45" i="3"/>
  <c r="H46" i="3"/>
  <c r="F49" i="1"/>
  <c r="F51" i="1" s="1"/>
  <c r="F53" i="1" s="1"/>
  <c r="B49" i="1"/>
  <c r="B51" i="1" s="1"/>
  <c r="E11" i="10"/>
  <c r="O11" i="10"/>
  <c r="I36" i="10"/>
  <c r="N51" i="6"/>
  <c r="N48" i="6"/>
  <c r="N45" i="6"/>
  <c r="H48" i="6"/>
  <c r="H45" i="6"/>
  <c r="D45" i="6"/>
  <c r="I96" i="9"/>
  <c r="I97" i="9" s="1"/>
  <c r="I98" i="9" s="1"/>
  <c r="I99" i="9" s="1"/>
  <c r="I100" i="9" s="1"/>
  <c r="I101" i="9" s="1"/>
  <c r="I102" i="9" s="1"/>
  <c r="I103" i="9" s="1"/>
  <c r="I104" i="9" s="1"/>
  <c r="I105" i="9" s="1"/>
  <c r="I107" i="9" s="1"/>
  <c r="I95" i="9"/>
  <c r="D11" i="9"/>
  <c r="R58" i="8"/>
  <c r="R71" i="8" s="1"/>
  <c r="D13" i="8"/>
  <c r="C52" i="1"/>
  <c r="F35" i="1"/>
  <c r="F36" i="1" s="1"/>
  <c r="E35" i="1"/>
  <c r="E36" i="1" s="1"/>
  <c r="B35" i="1"/>
  <c r="B36" i="1" s="1"/>
  <c r="D52" i="1"/>
  <c r="H51" i="1"/>
  <c r="H53" i="1" s="1"/>
  <c r="G51" i="1"/>
  <c r="G53" i="1" s="1"/>
  <c r="K51" i="1"/>
  <c r="K53" i="1" s="1"/>
  <c r="G35" i="12" l="1"/>
  <c r="H34" i="12" s="1"/>
  <c r="G39" i="12"/>
  <c r="G38" i="12"/>
  <c r="J46" i="12"/>
  <c r="K45" i="12"/>
  <c r="F57" i="1"/>
  <c r="E57" i="1"/>
  <c r="E58" i="1" s="1"/>
  <c r="D51" i="6"/>
  <c r="J49" i="3"/>
  <c r="AA43" i="3"/>
  <c r="G39" i="3"/>
  <c r="G38" i="3"/>
  <c r="G34" i="3"/>
  <c r="J45" i="3"/>
  <c r="I46" i="3"/>
  <c r="B52" i="1"/>
  <c r="B53" i="1"/>
  <c r="I37" i="10"/>
  <c r="C12" i="10"/>
  <c r="I109" i="9"/>
  <c r="I110" i="9" s="1"/>
  <c r="I111" i="9" s="1"/>
  <c r="I112" i="9" s="1"/>
  <c r="I113" i="9" s="1"/>
  <c r="I114" i="9" s="1"/>
  <c r="I115" i="9" s="1"/>
  <c r="I116" i="9" s="1"/>
  <c r="I117" i="9" s="1"/>
  <c r="I118" i="9" s="1"/>
  <c r="I120" i="9" s="1"/>
  <c r="I108" i="9"/>
  <c r="O11" i="9"/>
  <c r="E11" i="9"/>
  <c r="R84" i="8"/>
  <c r="E13" i="8"/>
  <c r="C14" i="8" s="1"/>
  <c r="D14" i="8" s="1"/>
  <c r="N14" i="8" s="1"/>
  <c r="N13" i="8"/>
  <c r="F52" i="1"/>
  <c r="E52" i="1"/>
  <c r="F58" i="1" l="1"/>
  <c r="H35" i="12"/>
  <c r="I34" i="12" s="1"/>
  <c r="H38" i="12"/>
  <c r="H39" i="12"/>
  <c r="G40" i="12"/>
  <c r="K46" i="12"/>
  <c r="L45" i="12"/>
  <c r="B57" i="1"/>
  <c r="AB43" i="3"/>
  <c r="K49" i="3"/>
  <c r="G35" i="3"/>
  <c r="H38" i="3" s="1"/>
  <c r="G40" i="3"/>
  <c r="K45" i="3"/>
  <c r="J46" i="3"/>
  <c r="I38" i="10"/>
  <c r="D12" i="10"/>
  <c r="I122" i="9"/>
  <c r="I123" i="9" s="1"/>
  <c r="I124" i="9" s="1"/>
  <c r="I125" i="9" s="1"/>
  <c r="I126" i="9" s="1"/>
  <c r="I127" i="9" s="1"/>
  <c r="I128" i="9" s="1"/>
  <c r="I129" i="9" s="1"/>
  <c r="I130" i="9" s="1"/>
  <c r="I131" i="9" s="1"/>
  <c r="I133" i="9" s="1"/>
  <c r="I121" i="9"/>
  <c r="C12" i="9"/>
  <c r="R97" i="8"/>
  <c r="R110" i="8" s="1"/>
  <c r="E14" i="8"/>
  <c r="C15" i="8" s="1"/>
  <c r="C16" i="8" s="1"/>
  <c r="D16" i="8" s="1"/>
  <c r="I38" i="12" l="1"/>
  <c r="H40" i="12"/>
  <c r="I39" i="12"/>
  <c r="I35" i="12"/>
  <c r="J34" i="12" s="1"/>
  <c r="L46" i="12"/>
  <c r="M45" i="12"/>
  <c r="AC43" i="3"/>
  <c r="L49" i="3"/>
  <c r="H34" i="3"/>
  <c r="H35" i="3" s="1"/>
  <c r="I38" i="3" s="1"/>
  <c r="H39" i="3"/>
  <c r="L45" i="3"/>
  <c r="K46" i="3"/>
  <c r="O12" i="10"/>
  <c r="E12" i="10"/>
  <c r="I39" i="10"/>
  <c r="I134" i="9"/>
  <c r="I135" i="9"/>
  <c r="I136" i="9" s="1"/>
  <c r="I137" i="9" s="1"/>
  <c r="I138" i="9" s="1"/>
  <c r="I139" i="9" s="1"/>
  <c r="I140" i="9" s="1"/>
  <c r="I141" i="9" s="1"/>
  <c r="I142" i="9" s="1"/>
  <c r="I143" i="9" s="1"/>
  <c r="I144" i="9" s="1"/>
  <c r="I146" i="9" s="1"/>
  <c r="D12" i="9"/>
  <c r="R123" i="8"/>
  <c r="N16" i="8"/>
  <c r="E16" i="8"/>
  <c r="J39" i="12" l="1"/>
  <c r="J40" i="12" s="1"/>
  <c r="J38" i="12"/>
  <c r="J35" i="12"/>
  <c r="I40" i="12"/>
  <c r="M46" i="12"/>
  <c r="N45" i="12"/>
  <c r="C17" i="8"/>
  <c r="D17" i="8" s="1"/>
  <c r="E17" i="8" s="1"/>
  <c r="I34" i="3"/>
  <c r="I35" i="3" s="1"/>
  <c r="AD43" i="3"/>
  <c r="M49" i="3"/>
  <c r="I39" i="3"/>
  <c r="H40" i="3"/>
  <c r="M45" i="3"/>
  <c r="L46" i="3"/>
  <c r="C13" i="10"/>
  <c r="I40" i="10"/>
  <c r="I148" i="9"/>
  <c r="I149" i="9" s="1"/>
  <c r="I150" i="9" s="1"/>
  <c r="I151" i="9" s="1"/>
  <c r="I152" i="9" s="1"/>
  <c r="I153" i="9" s="1"/>
  <c r="I154" i="9" s="1"/>
  <c r="I155" i="9" s="1"/>
  <c r="I156" i="9" s="1"/>
  <c r="I157" i="9" s="1"/>
  <c r="I159" i="9" s="1"/>
  <c r="I147" i="9"/>
  <c r="O12" i="9"/>
  <c r="E12" i="9"/>
  <c r="R136" i="8"/>
  <c r="K39" i="12" l="1"/>
  <c r="K40" i="12" s="1"/>
  <c r="K38" i="12"/>
  <c r="K34" i="12"/>
  <c r="N46" i="12"/>
  <c r="O45" i="12"/>
  <c r="C18" i="8"/>
  <c r="D18" i="8" s="1"/>
  <c r="E18" i="8" s="1"/>
  <c r="C19" i="8" s="1"/>
  <c r="D19" i="8" s="1"/>
  <c r="E19" i="8" s="1"/>
  <c r="N17" i="8"/>
  <c r="J34" i="3"/>
  <c r="J35" i="3" s="1"/>
  <c r="J38" i="3"/>
  <c r="AE43" i="3"/>
  <c r="N49" i="3"/>
  <c r="J39" i="3"/>
  <c r="I40" i="3"/>
  <c r="N45" i="3"/>
  <c r="M46" i="3"/>
  <c r="D13" i="10"/>
  <c r="I42" i="10"/>
  <c r="I160" i="9"/>
  <c r="I161" i="9"/>
  <c r="I162" i="9" s="1"/>
  <c r="I163" i="9" s="1"/>
  <c r="I164" i="9" s="1"/>
  <c r="I165" i="9" s="1"/>
  <c r="I166" i="9" s="1"/>
  <c r="I167" i="9" s="1"/>
  <c r="I168" i="9" s="1"/>
  <c r="I169" i="9" s="1"/>
  <c r="I170" i="9" s="1"/>
  <c r="I172" i="9" s="1"/>
  <c r="C13" i="9"/>
  <c r="R149" i="8"/>
  <c r="K35" i="12" l="1"/>
  <c r="L38" i="12" s="1"/>
  <c r="O46" i="12"/>
  <c r="P45" i="12"/>
  <c r="K19" i="8"/>
  <c r="P19" i="8" s="1"/>
  <c r="S19" i="8" s="1"/>
  <c r="N19" i="8"/>
  <c r="N18" i="8"/>
  <c r="E42" i="3"/>
  <c r="E9" i="3" s="1"/>
  <c r="K38" i="3"/>
  <c r="O49" i="3"/>
  <c r="K34" i="3"/>
  <c r="K35" i="3" s="1"/>
  <c r="L34" i="3" s="1"/>
  <c r="K39" i="3"/>
  <c r="J40" i="3"/>
  <c r="O45" i="3"/>
  <c r="N46" i="3"/>
  <c r="I43" i="10"/>
  <c r="E13" i="10"/>
  <c r="O13" i="10"/>
  <c r="I174" i="9"/>
  <c r="I175" i="9" s="1"/>
  <c r="I176" i="9" s="1"/>
  <c r="I177" i="9" s="1"/>
  <c r="I178" i="9" s="1"/>
  <c r="I179" i="9" s="1"/>
  <c r="I180" i="9" s="1"/>
  <c r="I181" i="9" s="1"/>
  <c r="I182" i="9" s="1"/>
  <c r="I183" i="9" s="1"/>
  <c r="I185" i="9" s="1"/>
  <c r="I173" i="9"/>
  <c r="D13" i="9"/>
  <c r="O19" i="8"/>
  <c r="R162" i="8"/>
  <c r="C20" i="8"/>
  <c r="D20" i="8" s="1"/>
  <c r="J19" i="8"/>
  <c r="E10" i="3" l="1"/>
  <c r="E14" i="3"/>
  <c r="L39" i="12"/>
  <c r="L40" i="12" s="1"/>
  <c r="Q19" i="8"/>
  <c r="L34" i="12"/>
  <c r="P46" i="12"/>
  <c r="Q45" i="12"/>
  <c r="E43" i="3"/>
  <c r="E52" i="3"/>
  <c r="E56" i="3"/>
  <c r="E53" i="3"/>
  <c r="E51" i="3"/>
  <c r="P49" i="3"/>
  <c r="L38" i="3"/>
  <c r="L39" i="3"/>
  <c r="K40" i="3"/>
  <c r="L35" i="3"/>
  <c r="M34" i="3" s="1"/>
  <c r="P45" i="3"/>
  <c r="O46" i="3"/>
  <c r="C14" i="10"/>
  <c r="I44" i="10"/>
  <c r="I187" i="9"/>
  <c r="I188" i="9" s="1"/>
  <c r="I189" i="9" s="1"/>
  <c r="I190" i="9" s="1"/>
  <c r="I191" i="9" s="1"/>
  <c r="I192" i="9" s="1"/>
  <c r="I193" i="9" s="1"/>
  <c r="I194" i="9" s="1"/>
  <c r="I195" i="9" s="1"/>
  <c r="I196" i="9" s="1"/>
  <c r="I198" i="9" s="1"/>
  <c r="I186" i="9"/>
  <c r="O13" i="9"/>
  <c r="E13" i="9"/>
  <c r="R175" i="8"/>
  <c r="E20" i="8"/>
  <c r="C21" i="8" s="1"/>
  <c r="D21" i="8" s="1"/>
  <c r="N20" i="8"/>
  <c r="E15" i="3" l="1"/>
  <c r="L35" i="12"/>
  <c r="M38" i="12" s="1"/>
  <c r="R45" i="12"/>
  <c r="Q46" i="12"/>
  <c r="E54" i="3"/>
  <c r="E55" i="3" s="1"/>
  <c r="E57" i="3"/>
  <c r="E58" i="3" s="1"/>
  <c r="Q49" i="3"/>
  <c r="M38" i="3"/>
  <c r="M35" i="3"/>
  <c r="N34" i="3" s="1"/>
  <c r="M39" i="3"/>
  <c r="L40" i="3"/>
  <c r="Q45" i="3"/>
  <c r="P46" i="3"/>
  <c r="D14" i="10"/>
  <c r="I199" i="9"/>
  <c r="I200" i="9"/>
  <c r="I201" i="9" s="1"/>
  <c r="I202" i="9" s="1"/>
  <c r="I203" i="9" s="1"/>
  <c r="I204" i="9" s="1"/>
  <c r="I205" i="9" s="1"/>
  <c r="I206" i="9" s="1"/>
  <c r="I207" i="9" s="1"/>
  <c r="I208" i="9" s="1"/>
  <c r="I209" i="9" s="1"/>
  <c r="C14" i="9"/>
  <c r="R188" i="8"/>
  <c r="N21" i="8"/>
  <c r="E21" i="8"/>
  <c r="C22" i="8" s="1"/>
  <c r="D22" i="8" s="1"/>
  <c r="M34" i="12" l="1"/>
  <c r="M39" i="12"/>
  <c r="M40" i="12" s="1"/>
  <c r="S45" i="12"/>
  <c r="R46" i="12"/>
  <c r="R49" i="3"/>
  <c r="N38" i="3"/>
  <c r="N39" i="3"/>
  <c r="M40" i="3"/>
  <c r="N35" i="3"/>
  <c r="O34" i="3" s="1"/>
  <c r="R45" i="3"/>
  <c r="Q46" i="3"/>
  <c r="O14" i="10"/>
  <c r="E14" i="10"/>
  <c r="I46" i="10"/>
  <c r="J45" i="10"/>
  <c r="I211" i="9"/>
  <c r="I212" i="9" s="1"/>
  <c r="I213" i="9" s="1"/>
  <c r="I214" i="9" s="1"/>
  <c r="I215" i="9" s="1"/>
  <c r="I216" i="9" s="1"/>
  <c r="I217" i="9" s="1"/>
  <c r="I218" i="9" s="1"/>
  <c r="I219" i="9" s="1"/>
  <c r="I220" i="9" s="1"/>
  <c r="I221" i="9" s="1"/>
  <c r="I210" i="9"/>
  <c r="D14" i="9"/>
  <c r="R201" i="8"/>
  <c r="N22" i="8"/>
  <c r="E22" i="8"/>
  <c r="C23" i="8" s="1"/>
  <c r="D23" i="8" s="1"/>
  <c r="M35" i="12" l="1"/>
  <c r="N34" i="12" s="1"/>
  <c r="S46" i="12"/>
  <c r="T45" i="12"/>
  <c r="D63" i="12"/>
  <c r="E63" i="12" s="1"/>
  <c r="S49" i="3"/>
  <c r="O35" i="3"/>
  <c r="P34" i="3" s="1"/>
  <c r="O38" i="3"/>
  <c r="O39" i="3"/>
  <c r="N40" i="3"/>
  <c r="S45" i="3"/>
  <c r="T45" i="3" s="1"/>
  <c r="R46" i="3"/>
  <c r="I47" i="10"/>
  <c r="C15" i="10"/>
  <c r="C16" i="10" s="1"/>
  <c r="I223" i="9"/>
  <c r="I224" i="9" s="1"/>
  <c r="I225" i="9" s="1"/>
  <c r="I226" i="9" s="1"/>
  <c r="I227" i="9" s="1"/>
  <c r="I228" i="9" s="1"/>
  <c r="I229" i="9" s="1"/>
  <c r="I230" i="9" s="1"/>
  <c r="I231" i="9" s="1"/>
  <c r="I232" i="9" s="1"/>
  <c r="I233" i="9" s="1"/>
  <c r="I222" i="9"/>
  <c r="E14" i="9"/>
  <c r="O14" i="9"/>
  <c r="R212" i="8"/>
  <c r="R214" i="8" s="1"/>
  <c r="E23" i="8"/>
  <c r="C24" i="8" s="1"/>
  <c r="D24" i="8" s="1"/>
  <c r="E24" i="8" s="1"/>
  <c r="C25" i="8" s="1"/>
  <c r="D25" i="8" s="1"/>
  <c r="N23" i="8"/>
  <c r="N35" i="12" l="1"/>
  <c r="N39" i="12"/>
  <c r="N40" i="12" s="1"/>
  <c r="N38" i="12"/>
  <c r="U45" i="12"/>
  <c r="T46" i="12"/>
  <c r="P38" i="3"/>
  <c r="T49" i="3"/>
  <c r="T46" i="3"/>
  <c r="U45" i="3"/>
  <c r="P35" i="3"/>
  <c r="Q34" i="3" s="1"/>
  <c r="P39" i="3"/>
  <c r="O40" i="3"/>
  <c r="S46" i="3"/>
  <c r="D60" i="3"/>
  <c r="E60" i="3" s="1"/>
  <c r="D16" i="10"/>
  <c r="I48" i="10"/>
  <c r="I235" i="9"/>
  <c r="I236" i="9" s="1"/>
  <c r="I237" i="9" s="1"/>
  <c r="I238" i="9" s="1"/>
  <c r="I239" i="9" s="1"/>
  <c r="I240" i="9" s="1"/>
  <c r="I241" i="9" s="1"/>
  <c r="I242" i="9" s="1"/>
  <c r="I243" i="9" s="1"/>
  <c r="I244" i="9" s="1"/>
  <c r="I245" i="9" s="1"/>
  <c r="I234" i="9"/>
  <c r="C15" i="9"/>
  <c r="C16" i="9" s="1"/>
  <c r="N24" i="8"/>
  <c r="E25" i="8"/>
  <c r="C26" i="8" s="1"/>
  <c r="D26" i="8" s="1"/>
  <c r="N25" i="8"/>
  <c r="U46" i="12" l="1"/>
  <c r="V45" i="12"/>
  <c r="O38" i="12"/>
  <c r="O39" i="12"/>
  <c r="O34" i="12"/>
  <c r="Q38" i="3"/>
  <c r="U49" i="3"/>
  <c r="U46" i="3"/>
  <c r="V45" i="3"/>
  <c r="Q39" i="3"/>
  <c r="P40" i="3"/>
  <c r="Q35" i="3"/>
  <c r="R34" i="3" s="1"/>
  <c r="I49" i="10"/>
  <c r="E16" i="10"/>
  <c r="C17" i="10" s="1"/>
  <c r="O16" i="10"/>
  <c r="I246" i="9"/>
  <c r="I247" i="9"/>
  <c r="I248" i="9" s="1"/>
  <c r="I249" i="9" s="1"/>
  <c r="I250" i="9" s="1"/>
  <c r="I251" i="9" s="1"/>
  <c r="I252" i="9" s="1"/>
  <c r="I253" i="9" s="1"/>
  <c r="I254" i="9" s="1"/>
  <c r="I255" i="9" s="1"/>
  <c r="I256" i="9" s="1"/>
  <c r="I257" i="9" s="1"/>
  <c r="D16" i="9"/>
  <c r="E26" i="8"/>
  <c r="C27" i="8" s="1"/>
  <c r="N26" i="8"/>
  <c r="O35" i="12" l="1"/>
  <c r="P34" i="12" s="1"/>
  <c r="O40" i="12"/>
  <c r="V46" i="12"/>
  <c r="W45" i="12"/>
  <c r="V49" i="3"/>
  <c r="V46" i="3"/>
  <c r="W45" i="3"/>
  <c r="R35" i="3"/>
  <c r="S34" i="3" s="1"/>
  <c r="R38" i="3"/>
  <c r="R39" i="3"/>
  <c r="Q40" i="3"/>
  <c r="D17" i="10"/>
  <c r="I50" i="10"/>
  <c r="I259" i="9"/>
  <c r="I260" i="9" s="1"/>
  <c r="I261" i="9" s="1"/>
  <c r="I262" i="9" s="1"/>
  <c r="I263" i="9" s="1"/>
  <c r="I264" i="9" s="1"/>
  <c r="I265" i="9" s="1"/>
  <c r="I266" i="9" s="1"/>
  <c r="I267" i="9" s="1"/>
  <c r="I268" i="9" s="1"/>
  <c r="I269" i="9" s="1"/>
  <c r="I258" i="9"/>
  <c r="E16" i="9"/>
  <c r="C17" i="9" s="1"/>
  <c r="O16" i="9"/>
  <c r="D27" i="8"/>
  <c r="P35" i="12" l="1"/>
  <c r="Q34" i="12" s="1"/>
  <c r="P38" i="12"/>
  <c r="P39" i="12"/>
  <c r="X45" i="12"/>
  <c r="W46" i="12"/>
  <c r="S38" i="3"/>
  <c r="W49" i="3"/>
  <c r="S35" i="3"/>
  <c r="T34" i="3" s="1"/>
  <c r="X45" i="3"/>
  <c r="W46" i="3"/>
  <c r="S39" i="3"/>
  <c r="R40" i="3"/>
  <c r="I51" i="10"/>
  <c r="E17" i="10"/>
  <c r="C18" i="10" s="1"/>
  <c r="O17" i="10"/>
  <c r="I271" i="9"/>
  <c r="I272" i="9" s="1"/>
  <c r="I273" i="9" s="1"/>
  <c r="I274" i="9" s="1"/>
  <c r="I275" i="9" s="1"/>
  <c r="I276" i="9" s="1"/>
  <c r="I277" i="9" s="1"/>
  <c r="I278" i="9" s="1"/>
  <c r="I279" i="9" s="1"/>
  <c r="I280" i="9" s="1"/>
  <c r="I281" i="9" s="1"/>
  <c r="I270" i="9"/>
  <c r="D17" i="9"/>
  <c r="E27" i="8"/>
  <c r="C28" i="8" s="1"/>
  <c r="C29" i="8" s="1"/>
  <c r="D29" i="8" s="1"/>
  <c r="N27" i="8"/>
  <c r="Q39" i="12" l="1"/>
  <c r="Q40" i="12" s="1"/>
  <c r="P40" i="12"/>
  <c r="Q35" i="12"/>
  <c r="R34" i="12" s="1"/>
  <c r="Q38" i="12"/>
  <c r="Y45" i="12"/>
  <c r="X46" i="12"/>
  <c r="T38" i="3"/>
  <c r="X49" i="3"/>
  <c r="T35" i="3"/>
  <c r="U34" i="3" s="1"/>
  <c r="Y45" i="3"/>
  <c r="X46" i="3"/>
  <c r="N65" i="3"/>
  <c r="O65" i="3" s="1"/>
  <c r="P65" i="3" s="1"/>
  <c r="S61" i="3" s="1"/>
  <c r="T39" i="3"/>
  <c r="T53" i="3" s="1"/>
  <c r="S40" i="3"/>
  <c r="D61" i="3"/>
  <c r="E61" i="3" s="1"/>
  <c r="D18" i="10"/>
  <c r="I52" i="10"/>
  <c r="I283" i="9"/>
  <c r="I284" i="9" s="1"/>
  <c r="I285" i="9" s="1"/>
  <c r="I286" i="9" s="1"/>
  <c r="I287" i="9" s="1"/>
  <c r="I288" i="9" s="1"/>
  <c r="I289" i="9" s="1"/>
  <c r="I290" i="9" s="1"/>
  <c r="I291" i="9" s="1"/>
  <c r="I292" i="9" s="1"/>
  <c r="I293" i="9" s="1"/>
  <c r="I282" i="9"/>
  <c r="O17" i="9"/>
  <c r="E17" i="9"/>
  <c r="C18" i="9" s="1"/>
  <c r="E29" i="8"/>
  <c r="N29" i="8"/>
  <c r="R35" i="12" l="1"/>
  <c r="S34" i="12" s="1"/>
  <c r="R39" i="12"/>
  <c r="R38" i="12"/>
  <c r="Z45" i="12"/>
  <c r="Y46" i="12"/>
  <c r="C30" i="8"/>
  <c r="D30" i="8" s="1"/>
  <c r="N30" i="8" s="1"/>
  <c r="U38" i="3"/>
  <c r="T56" i="3"/>
  <c r="T52" i="3"/>
  <c r="T51" i="3"/>
  <c r="Y49" i="3"/>
  <c r="Y46" i="3"/>
  <c r="Z45" i="3"/>
  <c r="U35" i="3"/>
  <c r="V34" i="3" s="1"/>
  <c r="U39" i="3"/>
  <c r="U53" i="3" s="1"/>
  <c r="T40" i="3"/>
  <c r="T57" i="3"/>
  <c r="I53" i="10"/>
  <c r="O18" i="10"/>
  <c r="E18" i="10"/>
  <c r="C19" i="10" s="1"/>
  <c r="I295" i="9"/>
  <c r="I296" i="9" s="1"/>
  <c r="I297" i="9" s="1"/>
  <c r="I298" i="9" s="1"/>
  <c r="I299" i="9" s="1"/>
  <c r="I300" i="9" s="1"/>
  <c r="I301" i="9" s="1"/>
  <c r="I302" i="9" s="1"/>
  <c r="I303" i="9" s="1"/>
  <c r="I304" i="9" s="1"/>
  <c r="I305" i="9" s="1"/>
  <c r="I294" i="9"/>
  <c r="D18" i="9"/>
  <c r="E30" i="8"/>
  <c r="C31" i="8" s="1"/>
  <c r="D31" i="8" s="1"/>
  <c r="R40" i="12" l="1"/>
  <c r="S35" i="12"/>
  <c r="S39" i="12"/>
  <c r="S38" i="12"/>
  <c r="AA45" i="12"/>
  <c r="Z46" i="12"/>
  <c r="V38" i="3"/>
  <c r="U56" i="3"/>
  <c r="U52" i="3"/>
  <c r="U51" i="3"/>
  <c r="Z49" i="3"/>
  <c r="V35" i="3"/>
  <c r="W34" i="3" s="1"/>
  <c r="AA45" i="3"/>
  <c r="Z46" i="3"/>
  <c r="V39" i="3"/>
  <c r="V53" i="3" s="1"/>
  <c r="U40" i="3"/>
  <c r="D19" i="10"/>
  <c r="I55" i="10"/>
  <c r="I307" i="9"/>
  <c r="I308" i="9" s="1"/>
  <c r="I309" i="9" s="1"/>
  <c r="I310" i="9" s="1"/>
  <c r="I311" i="9" s="1"/>
  <c r="I312" i="9" s="1"/>
  <c r="I313" i="9" s="1"/>
  <c r="I314" i="9" s="1"/>
  <c r="I315" i="9" s="1"/>
  <c r="I316" i="9" s="1"/>
  <c r="I317" i="9" s="1"/>
  <c r="I306" i="9"/>
  <c r="E18" i="9"/>
  <c r="C19" i="9" s="1"/>
  <c r="O18" i="9"/>
  <c r="E31" i="8"/>
  <c r="N31" i="8"/>
  <c r="T39" i="12" l="1"/>
  <c r="T40" i="12" s="1"/>
  <c r="N68" i="12"/>
  <c r="O68" i="12" s="1"/>
  <c r="P68" i="12" s="1"/>
  <c r="S64" i="12" s="1"/>
  <c r="S40" i="12"/>
  <c r="D64" i="12"/>
  <c r="E64" i="12" s="1"/>
  <c r="AA46" i="12"/>
  <c r="AB45" i="12"/>
  <c r="T38" i="12"/>
  <c r="T34" i="12"/>
  <c r="C32" i="8"/>
  <c r="D32" i="8" s="1"/>
  <c r="K32" i="8" s="1"/>
  <c r="P32" i="8" s="1"/>
  <c r="V56" i="3"/>
  <c r="V52" i="3"/>
  <c r="W38" i="3"/>
  <c r="V51" i="3"/>
  <c r="AA49" i="3"/>
  <c r="W35" i="3"/>
  <c r="AA46" i="3"/>
  <c r="AB45" i="3"/>
  <c r="U57" i="3"/>
  <c r="U58" i="3" s="1"/>
  <c r="U54" i="3"/>
  <c r="U55" i="3" s="1"/>
  <c r="V40" i="3"/>
  <c r="W39" i="3"/>
  <c r="W53" i="3" s="1"/>
  <c r="I57" i="10"/>
  <c r="I56" i="10"/>
  <c r="O19" i="10"/>
  <c r="P19" i="10" s="1"/>
  <c r="E19" i="10"/>
  <c r="L19" i="10"/>
  <c r="I319" i="9"/>
  <c r="I320" i="9" s="1"/>
  <c r="I321" i="9" s="1"/>
  <c r="I322" i="9" s="1"/>
  <c r="I323" i="9" s="1"/>
  <c r="I324" i="9" s="1"/>
  <c r="I325" i="9" s="1"/>
  <c r="I326" i="9" s="1"/>
  <c r="I327" i="9" s="1"/>
  <c r="I328" i="9" s="1"/>
  <c r="I329" i="9" s="1"/>
  <c r="I318" i="9"/>
  <c r="D19" i="9"/>
  <c r="T35" i="12" l="1"/>
  <c r="U39" i="12" s="1"/>
  <c r="T59" i="12"/>
  <c r="E32" i="8"/>
  <c r="C33" i="8" s="1"/>
  <c r="D33" i="8" s="1"/>
  <c r="E33" i="8" s="1"/>
  <c r="T54" i="12"/>
  <c r="T55" i="12"/>
  <c r="T56" i="12"/>
  <c r="AB46" i="12"/>
  <c r="AC45" i="12"/>
  <c r="X38" i="3"/>
  <c r="N32" i="8"/>
  <c r="O32" i="8" s="1"/>
  <c r="F42" i="3"/>
  <c r="F43" i="3" s="1"/>
  <c r="X34" i="3"/>
  <c r="X35" i="3" s="1"/>
  <c r="Y34" i="3" s="1"/>
  <c r="W56" i="3"/>
  <c r="W52" i="3"/>
  <c r="W51" i="3"/>
  <c r="AB46" i="3"/>
  <c r="AC45" i="3"/>
  <c r="AB49" i="3"/>
  <c r="AC49" i="3" s="1"/>
  <c r="AD49" i="3" s="1"/>
  <c r="AE49" i="3" s="1"/>
  <c r="V57" i="3"/>
  <c r="V58" i="3" s="1"/>
  <c r="V54" i="3"/>
  <c r="V55" i="3" s="1"/>
  <c r="W40" i="3"/>
  <c r="X39" i="3"/>
  <c r="S32" i="8"/>
  <c r="K19" i="10"/>
  <c r="C20" i="10"/>
  <c r="Q19" i="10"/>
  <c r="I331" i="9"/>
  <c r="I332" i="9" s="1"/>
  <c r="I333" i="9" s="1"/>
  <c r="I334" i="9" s="1"/>
  <c r="I335" i="9" s="1"/>
  <c r="I336" i="9" s="1"/>
  <c r="I337" i="9" s="1"/>
  <c r="I338" i="9" s="1"/>
  <c r="I339" i="9" s="1"/>
  <c r="I340" i="9" s="1"/>
  <c r="I341" i="9" s="1"/>
  <c r="I330" i="9"/>
  <c r="O19" i="9"/>
  <c r="P19" i="9" s="1"/>
  <c r="E19" i="9"/>
  <c r="L19" i="9"/>
  <c r="J32" i="8" l="1"/>
  <c r="Q32" i="8" s="1"/>
  <c r="F42" i="12"/>
  <c r="U34" i="12"/>
  <c r="U40" i="12"/>
  <c r="AC46" i="12"/>
  <c r="AD45" i="12"/>
  <c r="T60" i="12"/>
  <c r="U38" i="12"/>
  <c r="F56" i="3"/>
  <c r="F52" i="3"/>
  <c r="F53" i="3"/>
  <c r="F54" i="3" s="1"/>
  <c r="F55" i="3" s="1"/>
  <c r="F51" i="3"/>
  <c r="X53" i="3"/>
  <c r="X56" i="3"/>
  <c r="X51" i="3"/>
  <c r="X52" i="3"/>
  <c r="AC46" i="3"/>
  <c r="AD45" i="3"/>
  <c r="Y35" i="3"/>
  <c r="Z34" i="3" s="1"/>
  <c r="Y38" i="3"/>
  <c r="X40" i="3"/>
  <c r="Y39" i="3"/>
  <c r="Y53" i="3" s="1"/>
  <c r="W54" i="3"/>
  <c r="W55" i="3" s="1"/>
  <c r="W57" i="3"/>
  <c r="W58" i="3" s="1"/>
  <c r="J58" i="10"/>
  <c r="R19" i="10"/>
  <c r="D20" i="10"/>
  <c r="I342" i="9"/>
  <c r="I343" i="9"/>
  <c r="I344" i="9" s="1"/>
  <c r="I345" i="9" s="1"/>
  <c r="I346" i="9" s="1"/>
  <c r="I347" i="9" s="1"/>
  <c r="I348" i="9" s="1"/>
  <c r="I349" i="9" s="1"/>
  <c r="I350" i="9" s="1"/>
  <c r="I351" i="9" s="1"/>
  <c r="I352" i="9" s="1"/>
  <c r="I353" i="9" s="1"/>
  <c r="K19" i="9"/>
  <c r="C20" i="9"/>
  <c r="Q19" i="9"/>
  <c r="N33" i="8"/>
  <c r="C34" i="8"/>
  <c r="D34" i="8" s="1"/>
  <c r="N34" i="8" s="1"/>
  <c r="U55" i="12" l="1"/>
  <c r="U56" i="12"/>
  <c r="U54" i="12"/>
  <c r="U35" i="12"/>
  <c r="U59" i="12"/>
  <c r="F43" i="12"/>
  <c r="F59" i="12"/>
  <c r="F56" i="12"/>
  <c r="F54" i="12"/>
  <c r="F55" i="12"/>
  <c r="V39" i="12"/>
  <c r="V40" i="12" s="1"/>
  <c r="V38" i="12"/>
  <c r="AD46" i="12"/>
  <c r="AE45" i="12"/>
  <c r="AE46" i="12" s="1"/>
  <c r="F57" i="3"/>
  <c r="F58" i="3" s="1"/>
  <c r="Y56" i="3"/>
  <c r="Y52" i="3"/>
  <c r="Y51" i="3"/>
  <c r="AD46" i="3"/>
  <c r="AE45" i="3"/>
  <c r="AE46" i="3" s="1"/>
  <c r="Z38" i="3"/>
  <c r="Z35" i="3"/>
  <c r="AA34" i="3" s="1"/>
  <c r="Y40" i="3"/>
  <c r="Z39" i="3"/>
  <c r="Z51" i="3" s="1"/>
  <c r="X54" i="3"/>
  <c r="X55" i="3" s="1"/>
  <c r="X57" i="3"/>
  <c r="X58" i="3" s="1"/>
  <c r="O20" i="10"/>
  <c r="E20" i="10"/>
  <c r="I60" i="10"/>
  <c r="I355" i="9"/>
  <c r="I356" i="9" s="1"/>
  <c r="I357" i="9" s="1"/>
  <c r="I358" i="9" s="1"/>
  <c r="I359" i="9" s="1"/>
  <c r="I360" i="9" s="1"/>
  <c r="I361" i="9" s="1"/>
  <c r="I362" i="9" s="1"/>
  <c r="I363" i="9" s="1"/>
  <c r="I364" i="9" s="1"/>
  <c r="I365" i="9" s="1"/>
  <c r="I354" i="9"/>
  <c r="R19" i="9"/>
  <c r="D20" i="9"/>
  <c r="E34" i="8"/>
  <c r="C35" i="8" s="1"/>
  <c r="D35" i="8" s="1"/>
  <c r="E35" i="8" s="1"/>
  <c r="C36" i="8" s="1"/>
  <c r="D36" i="8" s="1"/>
  <c r="V34" i="12" l="1"/>
  <c r="V35" i="12" s="1"/>
  <c r="W39" i="12" s="1"/>
  <c r="W40" i="12" s="1"/>
  <c r="U60" i="12"/>
  <c r="U61" i="12" s="1"/>
  <c r="U57" i="12"/>
  <c r="U58" i="12" s="1"/>
  <c r="F57" i="12"/>
  <c r="F58" i="12" s="1"/>
  <c r="F60" i="12"/>
  <c r="F61" i="12" s="1"/>
  <c r="Z52" i="3"/>
  <c r="Z56" i="3"/>
  <c r="Z53" i="3"/>
  <c r="AA35" i="3"/>
  <c r="AB34" i="3" s="1"/>
  <c r="AA38" i="3"/>
  <c r="AA39" i="3"/>
  <c r="AA53" i="3" s="1"/>
  <c r="Z40" i="3"/>
  <c r="Y54" i="3"/>
  <c r="Y55" i="3" s="1"/>
  <c r="Y57" i="3"/>
  <c r="Y58" i="3" s="1"/>
  <c r="I61" i="10"/>
  <c r="C21" i="10"/>
  <c r="I366" i="9"/>
  <c r="I367" i="9"/>
  <c r="I368" i="9" s="1"/>
  <c r="I369" i="9" s="1"/>
  <c r="I370" i="9" s="1"/>
  <c r="I371" i="9" s="1"/>
  <c r="I372" i="9" s="1"/>
  <c r="I373" i="9" s="1"/>
  <c r="I374" i="9" s="1"/>
  <c r="I375" i="9" s="1"/>
  <c r="I376" i="9" s="1"/>
  <c r="I377" i="9" s="1"/>
  <c r="O20" i="9"/>
  <c r="E20" i="9"/>
  <c r="N35" i="8"/>
  <c r="E36" i="8"/>
  <c r="C37" i="8" s="1"/>
  <c r="D37" i="8" s="1"/>
  <c r="N36" i="8"/>
  <c r="V59" i="12" l="1"/>
  <c r="V54" i="12"/>
  <c r="V55" i="12"/>
  <c r="V56" i="12"/>
  <c r="V57" i="12" s="1"/>
  <c r="V58" i="12" s="1"/>
  <c r="W38" i="12"/>
  <c r="W34" i="12"/>
  <c r="W59" i="12" s="1"/>
  <c r="AB38" i="3"/>
  <c r="AA56" i="3"/>
  <c r="AA52" i="3"/>
  <c r="AA51" i="3"/>
  <c r="AB35" i="3"/>
  <c r="Z54" i="3"/>
  <c r="Z55" i="3" s="1"/>
  <c r="Z57" i="3"/>
  <c r="Z58" i="3" s="1"/>
  <c r="AA40" i="3"/>
  <c r="AB39" i="3"/>
  <c r="AB52" i="3" s="1"/>
  <c r="D21" i="10"/>
  <c r="I62" i="10"/>
  <c r="I379" i="9"/>
  <c r="I380" i="9" s="1"/>
  <c r="I378" i="9"/>
  <c r="C21" i="9"/>
  <c r="E37" i="8"/>
  <c r="C38" i="8" s="1"/>
  <c r="D38" i="8" s="1"/>
  <c r="N37" i="8"/>
  <c r="V60" i="12" l="1"/>
  <c r="V61" i="12" s="1"/>
  <c r="W54" i="12"/>
  <c r="W56" i="12"/>
  <c r="W55" i="12"/>
  <c r="W35" i="12"/>
  <c r="X39" i="12" s="1"/>
  <c r="X40" i="12" s="1"/>
  <c r="AC38" i="3"/>
  <c r="AB56" i="3"/>
  <c r="AB53" i="3"/>
  <c r="AC39" i="3"/>
  <c r="AB51" i="3"/>
  <c r="AC34" i="3"/>
  <c r="AB40" i="3"/>
  <c r="AA54" i="3"/>
  <c r="AA55" i="3" s="1"/>
  <c r="AA57" i="3"/>
  <c r="AA58" i="3" s="1"/>
  <c r="I63" i="10"/>
  <c r="E21" i="10"/>
  <c r="O21" i="10"/>
  <c r="I384" i="9"/>
  <c r="D21" i="9"/>
  <c r="E38" i="8"/>
  <c r="C39" i="8" s="1"/>
  <c r="D39" i="8" s="1"/>
  <c r="N38" i="8"/>
  <c r="W57" i="12" l="1"/>
  <c r="W58" i="12" s="1"/>
  <c r="W60" i="12"/>
  <c r="W61" i="12" s="1"/>
  <c r="X34" i="12"/>
  <c r="X38" i="12"/>
  <c r="X56" i="12"/>
  <c r="AC52" i="3"/>
  <c r="AC56" i="3"/>
  <c r="AC35" i="3"/>
  <c r="AD38" i="3" s="1"/>
  <c r="AC53" i="3"/>
  <c r="AC51" i="3"/>
  <c r="AC40" i="3"/>
  <c r="AB54" i="3"/>
  <c r="AB55" i="3" s="1"/>
  <c r="AB57" i="3"/>
  <c r="I64" i="10"/>
  <c r="C22" i="10"/>
  <c r="E387" i="9"/>
  <c r="F387" i="9"/>
  <c r="F391" i="9" s="1"/>
  <c r="O21" i="9"/>
  <c r="E21" i="9"/>
  <c r="E39" i="8"/>
  <c r="C40" i="8" s="1"/>
  <c r="D40" i="8" s="1"/>
  <c r="N39" i="8"/>
  <c r="X54" i="12" l="1"/>
  <c r="X55" i="12"/>
  <c r="X35" i="12"/>
  <c r="X59" i="12"/>
  <c r="X60" i="12"/>
  <c r="X61" i="12" s="1"/>
  <c r="X57" i="12"/>
  <c r="X58" i="12" s="1"/>
  <c r="AD39" i="3"/>
  <c r="AD40" i="3" s="1"/>
  <c r="AC57" i="3"/>
  <c r="AC58" i="3" s="1"/>
  <c r="AC54" i="3"/>
  <c r="AC55" i="3" s="1"/>
  <c r="AD34" i="3"/>
  <c r="AB58" i="3"/>
  <c r="D22" i="10"/>
  <c r="I65" i="10"/>
  <c r="C22" i="9"/>
  <c r="E40" i="8"/>
  <c r="C41" i="8" s="1"/>
  <c r="C42" i="8" s="1"/>
  <c r="D42" i="8" s="1"/>
  <c r="N40" i="8"/>
  <c r="Y39" i="12" l="1"/>
  <c r="Y40" i="12" s="1"/>
  <c r="Y34" i="12"/>
  <c r="Y38" i="12"/>
  <c r="AD52" i="3"/>
  <c r="AD56" i="3"/>
  <c r="AD35" i="3"/>
  <c r="AE34" i="3" s="1"/>
  <c r="AD51" i="3"/>
  <c r="AD53" i="3"/>
  <c r="I66" i="10"/>
  <c r="O22" i="10"/>
  <c r="E22" i="10"/>
  <c r="D22" i="9"/>
  <c r="E42" i="8"/>
  <c r="N42" i="8"/>
  <c r="Y59" i="12" l="1"/>
  <c r="Y56" i="12"/>
  <c r="Y55" i="12"/>
  <c r="Y54" i="12"/>
  <c r="Y35" i="12"/>
  <c r="Z34" i="12"/>
  <c r="C43" i="8"/>
  <c r="D43" i="8" s="1"/>
  <c r="E43" i="8" s="1"/>
  <c r="C44" i="8" s="1"/>
  <c r="D44" i="8" s="1"/>
  <c r="AD57" i="3"/>
  <c r="AD58" i="3" s="1"/>
  <c r="AD54" i="3"/>
  <c r="AD55" i="3" s="1"/>
  <c r="AE35" i="3"/>
  <c r="AE38" i="3"/>
  <c r="AE39" i="3"/>
  <c r="AE40" i="3" s="1"/>
  <c r="C23" i="10"/>
  <c r="I68" i="10"/>
  <c r="O22" i="9"/>
  <c r="E22" i="9"/>
  <c r="Y60" i="12" l="1"/>
  <c r="Y61" i="12" s="1"/>
  <c r="Y57" i="12"/>
  <c r="Y58" i="12" s="1"/>
  <c r="Z38" i="12"/>
  <c r="Z39" i="12"/>
  <c r="Z35" i="12"/>
  <c r="Z54" i="12"/>
  <c r="Z55" i="12"/>
  <c r="N43" i="8"/>
  <c r="AE56" i="3"/>
  <c r="AE52" i="3"/>
  <c r="AE53" i="3"/>
  <c r="AE51" i="3"/>
  <c r="D23" i="10"/>
  <c r="I70" i="10"/>
  <c r="I69" i="10"/>
  <c r="C23" i="9"/>
  <c r="E44" i="8"/>
  <c r="N44" i="8"/>
  <c r="AA38" i="12" l="1"/>
  <c r="Z59" i="12"/>
  <c r="Z40" i="12"/>
  <c r="Z56" i="12"/>
  <c r="Z60" i="12" s="1"/>
  <c r="Z61" i="12" s="1"/>
  <c r="Z57" i="12"/>
  <c r="Z58" i="12" s="1"/>
  <c r="AA34" i="12"/>
  <c r="AA39" i="12"/>
  <c r="AA40" i="12" s="1"/>
  <c r="C45" i="8"/>
  <c r="D45" i="8" s="1"/>
  <c r="K45" i="8" s="1"/>
  <c r="AE54" i="3"/>
  <c r="AE55" i="3" s="1"/>
  <c r="AE57" i="3"/>
  <c r="AE58" i="3" s="1"/>
  <c r="E23" i="10"/>
  <c r="O23" i="10"/>
  <c r="D23" i="9"/>
  <c r="N45" i="8"/>
  <c r="O45" i="8" s="1"/>
  <c r="AA35" i="12" l="1"/>
  <c r="AB34" i="12" s="1"/>
  <c r="AA59" i="12"/>
  <c r="AA56" i="12"/>
  <c r="AA55" i="12"/>
  <c r="AA54" i="12"/>
  <c r="E45" i="8"/>
  <c r="I72" i="10"/>
  <c r="J71" i="10"/>
  <c r="C24" i="10"/>
  <c r="O23" i="9"/>
  <c r="E23" i="9"/>
  <c r="P45" i="8"/>
  <c r="S45" i="8" s="1"/>
  <c r="J45" i="8"/>
  <c r="G42" i="3" l="1"/>
  <c r="G42" i="12"/>
  <c r="C46" i="8"/>
  <c r="D46" i="8" s="1"/>
  <c r="E46" i="8" s="1"/>
  <c r="AB35" i="12"/>
  <c r="AB38" i="12"/>
  <c r="AB39" i="12"/>
  <c r="AB59" i="12" s="1"/>
  <c r="AA60" i="12"/>
  <c r="AA61" i="12" s="1"/>
  <c r="AA57" i="12"/>
  <c r="AA58" i="12" s="1"/>
  <c r="D24" i="10"/>
  <c r="I73" i="10"/>
  <c r="C24" i="9"/>
  <c r="Q45" i="8"/>
  <c r="C47" i="8"/>
  <c r="D47" i="8" s="1"/>
  <c r="E47" i="8" s="1"/>
  <c r="C48" i="8" s="1"/>
  <c r="D48" i="8" s="1"/>
  <c r="G43" i="3" l="1"/>
  <c r="G56" i="3"/>
  <c r="G52" i="3"/>
  <c r="G51" i="3"/>
  <c r="G53" i="3"/>
  <c r="G54" i="3" s="1"/>
  <c r="G55" i="3" s="1"/>
  <c r="N46" i="8"/>
  <c r="AC38" i="12"/>
  <c r="G43" i="12"/>
  <c r="G56" i="12"/>
  <c r="G55" i="12"/>
  <c r="G54" i="12"/>
  <c r="G59" i="12"/>
  <c r="AB56" i="12"/>
  <c r="AB55" i="12"/>
  <c r="AB40" i="12"/>
  <c r="AB54" i="12"/>
  <c r="AC39" i="12"/>
  <c r="AC40" i="12" s="1"/>
  <c r="AC34" i="12"/>
  <c r="I74" i="10"/>
  <c r="O24" i="10"/>
  <c r="E24" i="10"/>
  <c r="D24" i="9"/>
  <c r="N47" i="8"/>
  <c r="E48" i="8"/>
  <c r="C49" i="8" s="1"/>
  <c r="D49" i="8" s="1"/>
  <c r="N48" i="8"/>
  <c r="G57" i="3" l="1"/>
  <c r="G58" i="3" s="1"/>
  <c r="AB60" i="12"/>
  <c r="AB61" i="12" s="1"/>
  <c r="AB57" i="12"/>
  <c r="AB58" i="12" s="1"/>
  <c r="AC35" i="12"/>
  <c r="AC59" i="12"/>
  <c r="G57" i="12"/>
  <c r="G58" i="12" s="1"/>
  <c r="G60" i="12"/>
  <c r="G61" i="12" s="1"/>
  <c r="AC54" i="12"/>
  <c r="AC55" i="12"/>
  <c r="AC56" i="12"/>
  <c r="C25" i="10"/>
  <c r="I75" i="10"/>
  <c r="O24" i="9"/>
  <c r="E24" i="9"/>
  <c r="E49" i="8"/>
  <c r="N49" i="8"/>
  <c r="AD39" i="12" l="1"/>
  <c r="AD40" i="12" s="1"/>
  <c r="AD34" i="12"/>
  <c r="AD38" i="12"/>
  <c r="AC60" i="12"/>
  <c r="AC61" i="12" s="1"/>
  <c r="AC57" i="12"/>
  <c r="AC58" i="12" s="1"/>
  <c r="D25" i="10"/>
  <c r="I76" i="10"/>
  <c r="C25" i="9"/>
  <c r="C50" i="8"/>
  <c r="D50" i="8" s="1"/>
  <c r="E50" i="8" s="1"/>
  <c r="C51" i="8" s="1"/>
  <c r="D51" i="8" s="1"/>
  <c r="AD35" i="12" l="1"/>
  <c r="AE34" i="12" s="1"/>
  <c r="AD59" i="12"/>
  <c r="AD55" i="12"/>
  <c r="AD54" i="12"/>
  <c r="AD56" i="12"/>
  <c r="O25" i="10"/>
  <c r="E25" i="10"/>
  <c r="C26" i="10" s="1"/>
  <c r="I77" i="10"/>
  <c r="D25" i="9"/>
  <c r="N50" i="8"/>
  <c r="E51" i="8"/>
  <c r="N51" i="8"/>
  <c r="AE35" i="12" l="1"/>
  <c r="AE39" i="12"/>
  <c r="AE59" i="12" s="1"/>
  <c r="AE38" i="12"/>
  <c r="AD57" i="12"/>
  <c r="AD58" i="12" s="1"/>
  <c r="AD60" i="12"/>
  <c r="AD61" i="12" s="1"/>
  <c r="I78" i="10"/>
  <c r="D26" i="10"/>
  <c r="O25" i="9"/>
  <c r="E25" i="9"/>
  <c r="C26" i="9" s="1"/>
  <c r="C52" i="8"/>
  <c r="D52" i="8" s="1"/>
  <c r="E52" i="8" s="1"/>
  <c r="C53" i="8" s="1"/>
  <c r="D53" i="8" s="1"/>
  <c r="AE40" i="12" l="1"/>
  <c r="AE55" i="12"/>
  <c r="AE54" i="12"/>
  <c r="AE56" i="12"/>
  <c r="E26" i="10"/>
  <c r="C27" i="10" s="1"/>
  <c r="O26" i="10"/>
  <c r="I79" i="10"/>
  <c r="D26" i="9"/>
  <c r="N52" i="8"/>
  <c r="E53" i="8"/>
  <c r="C54" i="8" s="1"/>
  <c r="C55" i="8" s="1"/>
  <c r="D55" i="8" s="1"/>
  <c r="N53" i="8"/>
  <c r="AE57" i="12" l="1"/>
  <c r="AE58" i="12" s="1"/>
  <c r="AE60" i="12"/>
  <c r="AE61" i="12" s="1"/>
  <c r="I81" i="10"/>
  <c r="D27" i="10"/>
  <c r="O26" i="9"/>
  <c r="E26" i="9"/>
  <c r="C27" i="9" s="1"/>
  <c r="E55" i="8"/>
  <c r="N55" i="8"/>
  <c r="C56" i="8" l="1"/>
  <c r="D56" i="8" s="1"/>
  <c r="O27" i="10"/>
  <c r="E27" i="10"/>
  <c r="C28" i="10" s="1"/>
  <c r="C29" i="10" s="1"/>
  <c r="I82" i="10"/>
  <c r="I83" i="10"/>
  <c r="D27" i="9"/>
  <c r="E56" i="8"/>
  <c r="C57" i="8" s="1"/>
  <c r="D57" i="8" s="1"/>
  <c r="N56" i="8"/>
  <c r="D29" i="10" l="1"/>
  <c r="O27" i="9"/>
  <c r="E27" i="9"/>
  <c r="C28" i="9" s="1"/>
  <c r="C29" i="9" s="1"/>
  <c r="E57" i="8"/>
  <c r="C58" i="8" s="1"/>
  <c r="D58" i="8" s="1"/>
  <c r="N57" i="8"/>
  <c r="E29" i="10" l="1"/>
  <c r="C30" i="10" s="1"/>
  <c r="O29" i="10"/>
  <c r="I85" i="10"/>
  <c r="J84" i="10"/>
  <c r="D29" i="9"/>
  <c r="K58" i="8"/>
  <c r="E58" i="8"/>
  <c r="N58" i="8"/>
  <c r="O58" i="8" s="1"/>
  <c r="H42" i="3" l="1"/>
  <c r="H42" i="12"/>
  <c r="I86" i="10"/>
  <c r="D30" i="10"/>
  <c r="O29" i="9"/>
  <c r="E29" i="9"/>
  <c r="C30" i="9" s="1"/>
  <c r="P58" i="8"/>
  <c r="S58" i="8" s="1"/>
  <c r="C59" i="8"/>
  <c r="D59" i="8" s="1"/>
  <c r="N59" i="8" s="1"/>
  <c r="J58" i="8"/>
  <c r="H53" i="3" l="1"/>
  <c r="H57" i="3" s="1"/>
  <c r="H58" i="3" s="1"/>
  <c r="H56" i="3"/>
  <c r="H51" i="3"/>
  <c r="H43" i="3"/>
  <c r="H52" i="3"/>
  <c r="H43" i="12"/>
  <c r="H55" i="12"/>
  <c r="H56" i="12"/>
  <c r="H54" i="12"/>
  <c r="H59" i="12"/>
  <c r="E59" i="8"/>
  <c r="C60" i="8" s="1"/>
  <c r="D60" i="8" s="1"/>
  <c r="E60" i="8" s="1"/>
  <c r="C61" i="8" s="1"/>
  <c r="D61" i="8" s="1"/>
  <c r="E30" i="10"/>
  <c r="C31" i="10" s="1"/>
  <c r="O30" i="10"/>
  <c r="I87" i="10"/>
  <c r="D30" i="9"/>
  <c r="Q58" i="8"/>
  <c r="H54" i="3" l="1"/>
  <c r="H55" i="3" s="1"/>
  <c r="H57" i="12"/>
  <c r="H58" i="12" s="1"/>
  <c r="H60" i="12"/>
  <c r="H61" i="12" s="1"/>
  <c r="I88" i="10"/>
  <c r="D31" i="10"/>
  <c r="E30" i="9"/>
  <c r="C31" i="9" s="1"/>
  <c r="O30" i="9"/>
  <c r="N60" i="8"/>
  <c r="E61" i="8"/>
  <c r="C62" i="8" s="1"/>
  <c r="D62" i="8" s="1"/>
  <c r="N61" i="8"/>
  <c r="E31" i="10" l="1"/>
  <c r="C32" i="10" s="1"/>
  <c r="O31" i="10"/>
  <c r="I89" i="10"/>
  <c r="D31" i="9"/>
  <c r="E62" i="8"/>
  <c r="C63" i="8" s="1"/>
  <c r="D63" i="8" s="1"/>
  <c r="N62" i="8"/>
  <c r="I90" i="10" l="1"/>
  <c r="D32" i="10"/>
  <c r="O31" i="9"/>
  <c r="E31" i="9"/>
  <c r="C32" i="9" s="1"/>
  <c r="E63" i="8"/>
  <c r="N63" i="8"/>
  <c r="E32" i="10" l="1"/>
  <c r="O32" i="10"/>
  <c r="P32" i="10" s="1"/>
  <c r="L32" i="10"/>
  <c r="I91" i="10"/>
  <c r="D32" i="9"/>
  <c r="C64" i="8"/>
  <c r="D64" i="8" s="1"/>
  <c r="E64" i="8" s="1"/>
  <c r="Q32" i="10" l="1"/>
  <c r="I92" i="10"/>
  <c r="K32" i="10"/>
  <c r="C33" i="10"/>
  <c r="E32" i="9"/>
  <c r="O32" i="9"/>
  <c r="P32" i="9" s="1"/>
  <c r="L32" i="9"/>
  <c r="C65" i="8"/>
  <c r="D65" i="8" s="1"/>
  <c r="E65" i="8" s="1"/>
  <c r="C66" i="8" s="1"/>
  <c r="D66" i="8" s="1"/>
  <c r="N64" i="8"/>
  <c r="D33" i="10" l="1"/>
  <c r="I94" i="10"/>
  <c r="R32" i="10"/>
  <c r="Q32" i="9"/>
  <c r="K32" i="9"/>
  <c r="C33" i="9"/>
  <c r="N65" i="8"/>
  <c r="E66" i="8"/>
  <c r="C67" i="8" s="1"/>
  <c r="C68" i="8" s="1"/>
  <c r="D68" i="8" s="1"/>
  <c r="N66" i="8"/>
  <c r="I96" i="10" l="1"/>
  <c r="I95" i="10"/>
  <c r="E33" i="10"/>
  <c r="O33" i="10"/>
  <c r="D33" i="9"/>
  <c r="R32" i="9"/>
  <c r="E68" i="8"/>
  <c r="N68" i="8"/>
  <c r="C69" i="8" l="1"/>
  <c r="D69" i="8" s="1"/>
  <c r="E69" i="8" s="1"/>
  <c r="C34" i="10"/>
  <c r="O33" i="9"/>
  <c r="E33" i="9"/>
  <c r="C70" i="8" l="1"/>
  <c r="D70" i="8" s="1"/>
  <c r="E70" i="8" s="1"/>
  <c r="C71" i="8" s="1"/>
  <c r="D71" i="8" s="1"/>
  <c r="N69" i="8"/>
  <c r="J97" i="10"/>
  <c r="I98" i="10"/>
  <c r="D34" i="10"/>
  <c r="C34" i="9"/>
  <c r="N70" i="8" l="1"/>
  <c r="I99" i="10"/>
  <c r="E34" i="10"/>
  <c r="O34" i="10"/>
  <c r="D34" i="9"/>
  <c r="K71" i="8"/>
  <c r="E71" i="8"/>
  <c r="N71" i="8"/>
  <c r="O71" i="8" s="1"/>
  <c r="I42" i="3" l="1"/>
  <c r="I42" i="12"/>
  <c r="C35" i="10"/>
  <c r="I100" i="10"/>
  <c r="E34" i="9"/>
  <c r="O34" i="9"/>
  <c r="P71" i="8"/>
  <c r="S71" i="8" s="1"/>
  <c r="C72" i="8"/>
  <c r="D72" i="8" s="1"/>
  <c r="E72" i="8" s="1"/>
  <c r="J71" i="8"/>
  <c r="I43" i="3" l="1"/>
  <c r="I51" i="3"/>
  <c r="I56" i="3"/>
  <c r="I52" i="3"/>
  <c r="I53" i="3"/>
  <c r="I57" i="3" s="1"/>
  <c r="I58" i="3" s="1"/>
  <c r="I43" i="12"/>
  <c r="I55" i="12"/>
  <c r="I59" i="12"/>
  <c r="I54" i="12"/>
  <c r="I56" i="12"/>
  <c r="I101" i="10"/>
  <c r="D35" i="10"/>
  <c r="C35" i="9"/>
  <c r="Q71" i="8"/>
  <c r="N72" i="8"/>
  <c r="C73" i="8"/>
  <c r="D73" i="8" s="1"/>
  <c r="I54" i="3" l="1"/>
  <c r="I55" i="3" s="1"/>
  <c r="I60" i="12"/>
  <c r="I61" i="12" s="1"/>
  <c r="I57" i="12"/>
  <c r="I58" i="12" s="1"/>
  <c r="E35" i="10"/>
  <c r="O35" i="10"/>
  <c r="I102" i="10"/>
  <c r="D35" i="9"/>
  <c r="N73" i="8"/>
  <c r="E73" i="8"/>
  <c r="C74" i="8" l="1"/>
  <c r="D74" i="8" s="1"/>
  <c r="E74" i="8" s="1"/>
  <c r="C75" i="8" s="1"/>
  <c r="D75" i="8" s="1"/>
  <c r="I103" i="10"/>
  <c r="C36" i="10"/>
  <c r="O35" i="9"/>
  <c r="E35" i="9"/>
  <c r="N74" i="8"/>
  <c r="E75" i="8"/>
  <c r="C76" i="8" s="1"/>
  <c r="D76" i="8" s="1"/>
  <c r="N75" i="8"/>
  <c r="D36" i="10" l="1"/>
  <c r="I104" i="10"/>
  <c r="C36" i="9"/>
  <c r="E76" i="8"/>
  <c r="C77" i="8" s="1"/>
  <c r="D77" i="8" s="1"/>
  <c r="N76" i="8"/>
  <c r="I105" i="10" l="1"/>
  <c r="E36" i="10"/>
  <c r="O36" i="10"/>
  <c r="D36" i="9"/>
  <c r="E77" i="8"/>
  <c r="C78" i="8" s="1"/>
  <c r="D78" i="8" s="1"/>
  <c r="N77" i="8"/>
  <c r="C37" i="10" l="1"/>
  <c r="I107" i="10"/>
  <c r="E36" i="9"/>
  <c r="O36" i="9"/>
  <c r="E78" i="8"/>
  <c r="N78" i="8"/>
  <c r="C79" i="8" l="1"/>
  <c r="D79" i="8" s="1"/>
  <c r="I109" i="10"/>
  <c r="I108" i="10"/>
  <c r="D37" i="10"/>
  <c r="C37" i="9"/>
  <c r="E79" i="8"/>
  <c r="C80" i="8" s="1"/>
  <c r="N79" i="8"/>
  <c r="C81" i="8" l="1"/>
  <c r="F81" i="8" s="1"/>
  <c r="E37" i="10"/>
  <c r="O37" i="10"/>
  <c r="D37" i="9"/>
  <c r="D81" i="8" l="1"/>
  <c r="N81" i="8" s="1"/>
  <c r="J110" i="10"/>
  <c r="I111" i="10"/>
  <c r="C38" i="10"/>
  <c r="E37" i="9"/>
  <c r="O37" i="9"/>
  <c r="E81" i="8" l="1"/>
  <c r="D38" i="10"/>
  <c r="I112" i="10"/>
  <c r="C38" i="9"/>
  <c r="C82" i="8" l="1"/>
  <c r="D82" i="8" s="1"/>
  <c r="N82" i="8" s="1"/>
  <c r="I113" i="10"/>
  <c r="E38" i="10"/>
  <c r="C39" i="10" s="1"/>
  <c r="O38" i="10"/>
  <c r="D38" i="9"/>
  <c r="F82" i="8" l="1"/>
  <c r="E82" i="8" s="1"/>
  <c r="D39" i="10"/>
  <c r="I114" i="10"/>
  <c r="E38" i="9"/>
  <c r="C39" i="9" s="1"/>
  <c r="O38" i="9"/>
  <c r="C83" i="8" l="1"/>
  <c r="F83" i="8" s="1"/>
  <c r="I115" i="10"/>
  <c r="E39" i="10"/>
  <c r="C40" i="10" s="1"/>
  <c r="O39" i="10"/>
  <c r="D39" i="9"/>
  <c r="D83" i="8" l="1"/>
  <c r="N83" i="8" s="1"/>
  <c r="D40" i="10"/>
  <c r="I116" i="10"/>
  <c r="O39" i="9"/>
  <c r="E39" i="9"/>
  <c r="C40" i="9" s="1"/>
  <c r="E83" i="8" l="1"/>
  <c r="C84" i="8" s="1"/>
  <c r="D84" i="8" s="1"/>
  <c r="I117" i="10"/>
  <c r="E40" i="10"/>
  <c r="C41" i="10" s="1"/>
  <c r="C42" i="10" s="1"/>
  <c r="O40" i="10"/>
  <c r="D40" i="9"/>
  <c r="F84" i="8" l="1"/>
  <c r="E84" i="8" s="1"/>
  <c r="J42" i="12" s="1"/>
  <c r="N84" i="8"/>
  <c r="O84" i="8" s="1"/>
  <c r="K84" i="8"/>
  <c r="P84" i="8" s="1"/>
  <c r="S84" i="8" s="1"/>
  <c r="D42" i="10"/>
  <c r="I118" i="10"/>
  <c r="E40" i="9"/>
  <c r="C41" i="9" s="1"/>
  <c r="C42" i="9" s="1"/>
  <c r="O40" i="9"/>
  <c r="J43" i="12" l="1"/>
  <c r="J59" i="12"/>
  <c r="J54" i="12"/>
  <c r="J56" i="12"/>
  <c r="J55" i="12"/>
  <c r="J84" i="8"/>
  <c r="Q84" i="8" s="1"/>
  <c r="J42" i="3"/>
  <c r="C85" i="8"/>
  <c r="D85" i="8" s="1"/>
  <c r="N85" i="8" s="1"/>
  <c r="I120" i="10"/>
  <c r="E42" i="10"/>
  <c r="C43" i="10" s="1"/>
  <c r="O42" i="10"/>
  <c r="D42" i="9"/>
  <c r="J57" i="12" l="1"/>
  <c r="J58" i="12" s="1"/>
  <c r="J60" i="12"/>
  <c r="J61" i="12" s="1"/>
  <c r="J43" i="3"/>
  <c r="J53" i="3"/>
  <c r="J56" i="3"/>
  <c r="J51" i="3"/>
  <c r="J52" i="3"/>
  <c r="F85" i="8"/>
  <c r="E85" i="8" s="1"/>
  <c r="D43" i="10"/>
  <c r="I121" i="10"/>
  <c r="I122" i="10"/>
  <c r="O42" i="9"/>
  <c r="E42" i="9"/>
  <c r="C43" i="9" s="1"/>
  <c r="C86" i="8" l="1"/>
  <c r="F86" i="8" s="1"/>
  <c r="J57" i="3"/>
  <c r="J58" i="3" s="1"/>
  <c r="J54" i="3"/>
  <c r="J55" i="3" s="1"/>
  <c r="D86" i="8"/>
  <c r="N86" i="8" s="1"/>
  <c r="E43" i="10"/>
  <c r="C44" i="10" s="1"/>
  <c r="O43" i="10"/>
  <c r="D43" i="9"/>
  <c r="E86" i="8" l="1"/>
  <c r="D44" i="10"/>
  <c r="I124" i="10"/>
  <c r="J123" i="10"/>
  <c r="O43" i="9"/>
  <c r="E43" i="9"/>
  <c r="C44" i="9" s="1"/>
  <c r="C87" i="8" l="1"/>
  <c r="F87" i="8" s="1"/>
  <c r="D87" i="8"/>
  <c r="N87" i="8" s="1"/>
  <c r="I125" i="10"/>
  <c r="E44" i="10"/>
  <c r="C45" i="10" s="1"/>
  <c r="O44" i="10"/>
  <c r="D44" i="9"/>
  <c r="E87" i="8" l="1"/>
  <c r="I126" i="10"/>
  <c r="D45" i="10"/>
  <c r="O44" i="9"/>
  <c r="E44" i="9"/>
  <c r="C45" i="9" s="1"/>
  <c r="C88" i="8" l="1"/>
  <c r="D88" i="8"/>
  <c r="N88" i="8" s="1"/>
  <c r="F88" i="8"/>
  <c r="E45" i="10"/>
  <c r="O45" i="10"/>
  <c r="P45" i="10" s="1"/>
  <c r="L45" i="10"/>
  <c r="I127" i="10"/>
  <c r="D45" i="9"/>
  <c r="E88" i="8" l="1"/>
  <c r="I128" i="10"/>
  <c r="Q45" i="10"/>
  <c r="K45" i="10"/>
  <c r="C46" i="10"/>
  <c r="E45" i="9"/>
  <c r="O45" i="9"/>
  <c r="P45" i="9" s="1"/>
  <c r="L45" i="9"/>
  <c r="C89" i="8" l="1"/>
  <c r="D89" i="8"/>
  <c r="N89" i="8" s="1"/>
  <c r="F89" i="8"/>
  <c r="E89" i="8" s="1"/>
  <c r="C90" i="8" s="1"/>
  <c r="D46" i="10"/>
  <c r="R45" i="10"/>
  <c r="I129" i="10"/>
  <c r="Q45" i="9"/>
  <c r="K45" i="9"/>
  <c r="C46" i="9"/>
  <c r="D90" i="8" l="1"/>
  <c r="N90" i="8" s="1"/>
  <c r="F90" i="8"/>
  <c r="I130" i="10"/>
  <c r="E46" i="10"/>
  <c r="O46" i="10"/>
  <c r="D46" i="9"/>
  <c r="R45" i="9"/>
  <c r="E90" i="8" l="1"/>
  <c r="C91" i="8" s="1"/>
  <c r="D91" i="8" s="1"/>
  <c r="N91" i="8" s="1"/>
  <c r="C47" i="10"/>
  <c r="I131" i="10"/>
  <c r="E46" i="9"/>
  <c r="O46" i="9"/>
  <c r="F91" i="8" l="1"/>
  <c r="E91" i="8" s="1"/>
  <c r="C92" i="8" s="1"/>
  <c r="F92" i="8" s="1"/>
  <c r="I133" i="10"/>
  <c r="D47" i="10"/>
  <c r="C47" i="9"/>
  <c r="D92" i="8" l="1"/>
  <c r="N92" i="8" s="1"/>
  <c r="E47" i="10"/>
  <c r="O47" i="10"/>
  <c r="I134" i="10"/>
  <c r="I135" i="10"/>
  <c r="D47" i="9"/>
  <c r="E92" i="8" l="1"/>
  <c r="C93" i="8" s="1"/>
  <c r="C94" i="8" s="1"/>
  <c r="F94" i="8" s="1"/>
  <c r="C48" i="10"/>
  <c r="E47" i="9"/>
  <c r="O47" i="9"/>
  <c r="D94" i="8" l="1"/>
  <c r="N94" i="8" s="1"/>
  <c r="D48" i="10"/>
  <c r="J136" i="10"/>
  <c r="I137" i="10"/>
  <c r="C48" i="9"/>
  <c r="E94" i="8" l="1"/>
  <c r="I138" i="10"/>
  <c r="E48" i="10"/>
  <c r="O48" i="10"/>
  <c r="D48" i="9"/>
  <c r="C95" i="8" l="1"/>
  <c r="D95" i="8" s="1"/>
  <c r="N95" i="8" s="1"/>
  <c r="F95" i="8"/>
  <c r="E95" i="8" s="1"/>
  <c r="C96" i="8" s="1"/>
  <c r="F96" i="8" s="1"/>
  <c r="C49" i="10"/>
  <c r="I139" i="10"/>
  <c r="O48" i="9"/>
  <c r="E48" i="9"/>
  <c r="D96" i="8" l="1"/>
  <c r="N96" i="8" s="1"/>
  <c r="I140" i="10"/>
  <c r="D49" i="10"/>
  <c r="C49" i="9"/>
  <c r="E96" i="8" l="1"/>
  <c r="E49" i="10"/>
  <c r="O49" i="10"/>
  <c r="I141" i="10"/>
  <c r="D49" i="9"/>
  <c r="C97" i="8" l="1"/>
  <c r="D97" i="8" s="1"/>
  <c r="K97" i="8" s="1"/>
  <c r="P97" i="8" s="1"/>
  <c r="S97" i="8" s="1"/>
  <c r="I142" i="10"/>
  <c r="C50" i="10"/>
  <c r="E49" i="9"/>
  <c r="O49" i="9"/>
  <c r="N97" i="8" l="1"/>
  <c r="O97" i="8" s="1"/>
  <c r="F97" i="8"/>
  <c r="E97" i="8" s="1"/>
  <c r="D50" i="10"/>
  <c r="I143" i="10"/>
  <c r="C50" i="9"/>
  <c r="K42" i="3" l="1"/>
  <c r="K42" i="12"/>
  <c r="C98" i="8"/>
  <c r="F98" i="8" s="1"/>
  <c r="J97" i="8"/>
  <c r="Q97" i="8" s="1"/>
  <c r="I144" i="10"/>
  <c r="E50" i="10"/>
  <c r="O50" i="10"/>
  <c r="D50" i="9"/>
  <c r="K43" i="3" l="1"/>
  <c r="K51" i="3"/>
  <c r="K52" i="3"/>
  <c r="K56" i="3"/>
  <c r="K53" i="3"/>
  <c r="K43" i="12"/>
  <c r="K56" i="12"/>
  <c r="K55" i="12"/>
  <c r="K54" i="12"/>
  <c r="K59" i="12"/>
  <c r="D98" i="8"/>
  <c r="N98" i="8" s="1"/>
  <c r="C51" i="10"/>
  <c r="I146" i="10"/>
  <c r="O50" i="9"/>
  <c r="E50" i="9"/>
  <c r="K57" i="3" l="1"/>
  <c r="K58" i="3" s="1"/>
  <c r="K54" i="3"/>
  <c r="K55" i="3" s="1"/>
  <c r="K60" i="12"/>
  <c r="K61" i="12" s="1"/>
  <c r="K57" i="12"/>
  <c r="K58" i="12" s="1"/>
  <c r="E98" i="8"/>
  <c r="I148" i="10"/>
  <c r="I147" i="10"/>
  <c r="D51" i="10"/>
  <c r="C51" i="9"/>
  <c r="C99" i="8" l="1"/>
  <c r="E51" i="10"/>
  <c r="C52" i="10" s="1"/>
  <c r="O51" i="10"/>
  <c r="D51" i="9"/>
  <c r="F99" i="8" l="1"/>
  <c r="D99" i="8"/>
  <c r="N99" i="8" s="1"/>
  <c r="J149" i="10"/>
  <c r="I150" i="10"/>
  <c r="D52" i="10"/>
  <c r="E51" i="9"/>
  <c r="C52" i="9" s="1"/>
  <c r="O51" i="9"/>
  <c r="E99" i="8" l="1"/>
  <c r="I151" i="10"/>
  <c r="E52" i="10"/>
  <c r="C53" i="10" s="1"/>
  <c r="O52" i="10"/>
  <c r="D52" i="9"/>
  <c r="C100" i="8" l="1"/>
  <c r="D53" i="10"/>
  <c r="I152" i="10"/>
  <c r="O52" i="9"/>
  <c r="E52" i="9"/>
  <c r="C53" i="9" s="1"/>
  <c r="F100" i="8" l="1"/>
  <c r="D100" i="8"/>
  <c r="N100" i="8" s="1"/>
  <c r="I153" i="10"/>
  <c r="E53" i="10"/>
  <c r="C54" i="10" s="1"/>
  <c r="C55" i="10" s="1"/>
  <c r="O53" i="10"/>
  <c r="D53" i="9"/>
  <c r="E100" i="8" l="1"/>
  <c r="D55" i="10"/>
  <c r="I154" i="10"/>
  <c r="E53" i="9"/>
  <c r="C54" i="9" s="1"/>
  <c r="C55" i="9" s="1"/>
  <c r="O53" i="9"/>
  <c r="C101" i="8" l="1"/>
  <c r="I155" i="10"/>
  <c r="E55" i="10"/>
  <c r="C56" i="10" s="1"/>
  <c r="O55" i="10"/>
  <c r="D55" i="9"/>
  <c r="F101" i="8" l="1"/>
  <c r="D101" i="8"/>
  <c r="N101" i="8" s="1"/>
  <c r="D56" i="10"/>
  <c r="I156" i="10"/>
  <c r="O55" i="9"/>
  <c r="E55" i="9"/>
  <c r="C56" i="9" s="1"/>
  <c r="E101" i="8" l="1"/>
  <c r="E56" i="10"/>
  <c r="C57" i="10" s="1"/>
  <c r="O56" i="10"/>
  <c r="I157" i="10"/>
  <c r="D56" i="9"/>
  <c r="C102" i="8" l="1"/>
  <c r="I159" i="10"/>
  <c r="D57" i="10"/>
  <c r="O56" i="9"/>
  <c r="E56" i="9"/>
  <c r="C57" i="9" s="1"/>
  <c r="F102" i="8" l="1"/>
  <c r="D102" i="8"/>
  <c r="N102" i="8" s="1"/>
  <c r="E57" i="10"/>
  <c r="C58" i="10" s="1"/>
  <c r="O57" i="10"/>
  <c r="I161" i="10"/>
  <c r="I160" i="10"/>
  <c r="D57" i="9"/>
  <c r="E102" i="8" l="1"/>
  <c r="C103" i="8" s="1"/>
  <c r="D58" i="10"/>
  <c r="O57" i="9"/>
  <c r="E57" i="9"/>
  <c r="C58" i="9" s="1"/>
  <c r="F103" i="8" l="1"/>
  <c r="D103" i="8"/>
  <c r="N103" i="8" s="1"/>
  <c r="E58" i="10"/>
  <c r="O58" i="10"/>
  <c r="P58" i="10" s="1"/>
  <c r="L58" i="10"/>
  <c r="I163" i="10"/>
  <c r="J162" i="10"/>
  <c r="D58" i="9"/>
  <c r="E103" i="8" l="1"/>
  <c r="C104" i="8" s="1"/>
  <c r="I164" i="10"/>
  <c r="Q58" i="10"/>
  <c r="K58" i="10"/>
  <c r="C59" i="10"/>
  <c r="O58" i="9"/>
  <c r="P58" i="9" s="1"/>
  <c r="E58" i="9"/>
  <c r="L58" i="9"/>
  <c r="Q58" i="9" s="1"/>
  <c r="F104" i="8" l="1"/>
  <c r="D104" i="8"/>
  <c r="N104" i="8" s="1"/>
  <c r="D59" i="10"/>
  <c r="R58" i="10"/>
  <c r="I165" i="10"/>
  <c r="K58" i="9"/>
  <c r="R58" i="9" s="1"/>
  <c r="C59" i="9"/>
  <c r="E104" i="8" l="1"/>
  <c r="C105" i="8" s="1"/>
  <c r="I166" i="10"/>
  <c r="E59" i="10"/>
  <c r="O59" i="10"/>
  <c r="D59" i="9"/>
  <c r="F105" i="8" l="1"/>
  <c r="D105" i="8"/>
  <c r="C60" i="10"/>
  <c r="I167" i="10"/>
  <c r="O59" i="9"/>
  <c r="E59" i="9"/>
  <c r="E105" i="8" l="1"/>
  <c r="C106" i="8" s="1"/>
  <c r="C107" i="8" s="1"/>
  <c r="N105" i="8"/>
  <c r="I168" i="10"/>
  <c r="D60" i="10"/>
  <c r="C60" i="9"/>
  <c r="F107" i="8" l="1"/>
  <c r="D107" i="8"/>
  <c r="N107" i="8" s="1"/>
  <c r="E60" i="10"/>
  <c r="O60" i="10"/>
  <c r="I169" i="10"/>
  <c r="D60" i="9"/>
  <c r="E107" i="8" l="1"/>
  <c r="C108" i="8" s="1"/>
  <c r="I170" i="10"/>
  <c r="C61" i="10"/>
  <c r="O60" i="9"/>
  <c r="E60" i="9"/>
  <c r="F108" i="8" l="1"/>
  <c r="D108" i="8"/>
  <c r="N108" i="8" s="1"/>
  <c r="D61" i="10"/>
  <c r="I172" i="10"/>
  <c r="C61" i="9"/>
  <c r="E108" i="8" l="1"/>
  <c r="I173" i="10"/>
  <c r="I174" i="10"/>
  <c r="E61" i="10"/>
  <c r="O61" i="10"/>
  <c r="D61" i="9"/>
  <c r="C109" i="8" l="1"/>
  <c r="C62" i="10"/>
  <c r="O61" i="9"/>
  <c r="E61" i="9"/>
  <c r="F109" i="8" l="1"/>
  <c r="D109" i="8"/>
  <c r="D62" i="10"/>
  <c r="I176" i="10"/>
  <c r="J175" i="10"/>
  <c r="C62" i="9"/>
  <c r="N109" i="8" l="1"/>
  <c r="E109" i="8"/>
  <c r="E62" i="10"/>
  <c r="O62" i="10"/>
  <c r="I177" i="10"/>
  <c r="D62" i="9"/>
  <c r="C110" i="8" l="1"/>
  <c r="I178" i="10"/>
  <c r="C63" i="10"/>
  <c r="E62" i="9"/>
  <c r="O62" i="9"/>
  <c r="F110" i="8" l="1"/>
  <c r="D110" i="8"/>
  <c r="D63" i="10"/>
  <c r="I179" i="10"/>
  <c r="C63" i="9"/>
  <c r="N110" i="8" l="1"/>
  <c r="O110" i="8" s="1"/>
  <c r="K110" i="8"/>
  <c r="P110" i="8" s="1"/>
  <c r="S110" i="8" s="1"/>
  <c r="E110" i="8"/>
  <c r="I180" i="10"/>
  <c r="E63" i="10"/>
  <c r="O63" i="10"/>
  <c r="D63" i="9"/>
  <c r="L42" i="3" l="1"/>
  <c r="L42" i="12"/>
  <c r="J110" i="8"/>
  <c r="Q110" i="8" s="1"/>
  <c r="C111" i="8"/>
  <c r="C64" i="10"/>
  <c r="I181" i="10"/>
  <c r="O63" i="9"/>
  <c r="E63" i="9"/>
  <c r="L43" i="12" l="1"/>
  <c r="L55" i="12"/>
  <c r="L54" i="12"/>
  <c r="L56" i="12"/>
  <c r="L59" i="12"/>
  <c r="F111" i="8"/>
  <c r="E111" i="8" s="1"/>
  <c r="C112" i="8" s="1"/>
  <c r="D111" i="8"/>
  <c r="N111" i="8" s="1"/>
  <c r="L53" i="3"/>
  <c r="L51" i="3"/>
  <c r="L56" i="3"/>
  <c r="L43" i="3"/>
  <c r="L52" i="3"/>
  <c r="I182" i="10"/>
  <c r="D64" i="10"/>
  <c r="C64" i="9"/>
  <c r="D112" i="8" l="1"/>
  <c r="N112" i="8" s="1"/>
  <c r="F112" i="8"/>
  <c r="L60" i="12"/>
  <c r="L61" i="12" s="1"/>
  <c r="L57" i="12"/>
  <c r="L58" i="12" s="1"/>
  <c r="L54" i="3"/>
  <c r="L55" i="3" s="1"/>
  <c r="L57" i="3"/>
  <c r="L58" i="3" s="1"/>
  <c r="E64" i="10"/>
  <c r="C65" i="10" s="1"/>
  <c r="O64" i="10"/>
  <c r="I183" i="10"/>
  <c r="D64" i="9"/>
  <c r="E112" i="8" l="1"/>
  <c r="I185" i="10"/>
  <c r="D65" i="10"/>
  <c r="O64" i="9"/>
  <c r="E64" i="9"/>
  <c r="C65" i="9" s="1"/>
  <c r="C113" i="8" l="1"/>
  <c r="I186" i="10"/>
  <c r="I187" i="10"/>
  <c r="E65" i="10"/>
  <c r="C66" i="10" s="1"/>
  <c r="O65" i="10"/>
  <c r="D65" i="9"/>
  <c r="F113" i="8" l="1"/>
  <c r="D113" i="8"/>
  <c r="D66" i="10"/>
  <c r="E65" i="9"/>
  <c r="C66" i="9" s="1"/>
  <c r="O65" i="9"/>
  <c r="E113" i="8" l="1"/>
  <c r="N113" i="8"/>
  <c r="J188" i="10"/>
  <c r="I189" i="10"/>
  <c r="E66" i="10"/>
  <c r="C67" i="10" s="1"/>
  <c r="C68" i="10" s="1"/>
  <c r="O66" i="10"/>
  <c r="D66" i="9"/>
  <c r="C114" i="8" l="1"/>
  <c r="D68" i="10"/>
  <c r="I190" i="10"/>
  <c r="O66" i="9"/>
  <c r="E66" i="9"/>
  <c r="C67" i="9" s="1"/>
  <c r="C68" i="9" s="1"/>
  <c r="F114" i="8" l="1"/>
  <c r="D114" i="8"/>
  <c r="N114" i="8" s="1"/>
  <c r="I191" i="10"/>
  <c r="E68" i="10"/>
  <c r="C69" i="10" s="1"/>
  <c r="O68" i="10"/>
  <c r="D68" i="9"/>
  <c r="E114" i="8" l="1"/>
  <c r="D69" i="10"/>
  <c r="I192" i="10"/>
  <c r="O68" i="9"/>
  <c r="E68" i="9"/>
  <c r="C69" i="9" s="1"/>
  <c r="C115" i="8" l="1"/>
  <c r="I193" i="10"/>
  <c r="E69" i="10"/>
  <c r="C70" i="10" s="1"/>
  <c r="O69" i="10"/>
  <c r="D69" i="9"/>
  <c r="F115" i="8" l="1"/>
  <c r="D115" i="8"/>
  <c r="N115" i="8" s="1"/>
  <c r="D70" i="10"/>
  <c r="I194" i="10"/>
  <c r="O69" i="9"/>
  <c r="E69" i="9"/>
  <c r="C70" i="9" s="1"/>
  <c r="E115" i="8" l="1"/>
  <c r="C116" i="8" s="1"/>
  <c r="I195" i="10"/>
  <c r="E70" i="10"/>
  <c r="C71" i="10" s="1"/>
  <c r="O70" i="10"/>
  <c r="D70" i="9"/>
  <c r="D116" i="8" l="1"/>
  <c r="N116" i="8" s="1"/>
  <c r="F116" i="8"/>
  <c r="E116" i="8" s="1"/>
  <c r="C117" i="8" s="1"/>
  <c r="D71" i="10"/>
  <c r="I196" i="10"/>
  <c r="O70" i="9"/>
  <c r="E70" i="9"/>
  <c r="C71" i="9" s="1"/>
  <c r="F117" i="8" l="1"/>
  <c r="D117" i="8"/>
  <c r="I198" i="10"/>
  <c r="E71" i="10"/>
  <c r="O71" i="10"/>
  <c r="P71" i="10" s="1"/>
  <c r="L71" i="10"/>
  <c r="Q71" i="10" s="1"/>
  <c r="D71" i="9"/>
  <c r="E117" i="8" l="1"/>
  <c r="C118" i="8" s="1"/>
  <c r="N117" i="8"/>
  <c r="R71" i="10"/>
  <c r="K71" i="10"/>
  <c r="C72" i="10"/>
  <c r="I199" i="10"/>
  <c r="I200" i="10"/>
  <c r="E71" i="9"/>
  <c r="O71" i="9"/>
  <c r="P71" i="9" s="1"/>
  <c r="L71" i="9"/>
  <c r="Q71" i="9" s="1"/>
  <c r="F118" i="8" l="1"/>
  <c r="D118" i="8"/>
  <c r="N118" i="8" s="1"/>
  <c r="D72" i="10"/>
  <c r="K71" i="9"/>
  <c r="R71" i="9" s="1"/>
  <c r="C72" i="9"/>
  <c r="E118" i="8" l="1"/>
  <c r="C119" i="8" s="1"/>
  <c r="C120" i="8" s="1"/>
  <c r="E72" i="10"/>
  <c r="O72" i="10"/>
  <c r="J201" i="10"/>
  <c r="I202" i="10"/>
  <c r="D72" i="9"/>
  <c r="F120" i="8" l="1"/>
  <c r="D120" i="8"/>
  <c r="N120" i="8" s="1"/>
  <c r="I203" i="10"/>
  <c r="C73" i="10"/>
  <c r="E72" i="9"/>
  <c r="O72" i="9"/>
  <c r="E120" i="8" l="1"/>
  <c r="C121" i="8" s="1"/>
  <c r="D73" i="10"/>
  <c r="I204" i="10"/>
  <c r="C73" i="9"/>
  <c r="F121" i="8" l="1"/>
  <c r="D121" i="8"/>
  <c r="N121" i="8" s="1"/>
  <c r="I205" i="10"/>
  <c r="E73" i="10"/>
  <c r="O73" i="10"/>
  <c r="D73" i="9"/>
  <c r="E121" i="8" l="1"/>
  <c r="C122" i="8" s="1"/>
  <c r="C74" i="10"/>
  <c r="I206" i="10"/>
  <c r="O73" i="9"/>
  <c r="E73" i="9"/>
  <c r="F122" i="8" l="1"/>
  <c r="D122" i="8"/>
  <c r="D74" i="10"/>
  <c r="I207" i="10"/>
  <c r="C74" i="9"/>
  <c r="N122" i="8" l="1"/>
  <c r="E122" i="8"/>
  <c r="E74" i="10"/>
  <c r="O74" i="10"/>
  <c r="I208" i="10"/>
  <c r="D74" i="9"/>
  <c r="C123" i="8" l="1"/>
  <c r="I209" i="10"/>
  <c r="C75" i="10"/>
  <c r="E74" i="9"/>
  <c r="O74" i="9"/>
  <c r="F123" i="8" l="1"/>
  <c r="D123" i="8"/>
  <c r="D75" i="10"/>
  <c r="I210" i="10"/>
  <c r="I211" i="10"/>
  <c r="C75" i="9"/>
  <c r="N123" i="8" l="1"/>
  <c r="O123" i="8" s="1"/>
  <c r="K123" i="8"/>
  <c r="P123" i="8" s="1"/>
  <c r="S123" i="8" s="1"/>
  <c r="E123" i="8"/>
  <c r="E75" i="10"/>
  <c r="O75" i="10"/>
  <c r="I212" i="10"/>
  <c r="D75" i="9"/>
  <c r="M42" i="3" l="1"/>
  <c r="M42" i="12"/>
  <c r="J123" i="8"/>
  <c r="Q123" i="8" s="1"/>
  <c r="C124" i="8"/>
  <c r="C76" i="10"/>
  <c r="O75" i="9"/>
  <c r="E75" i="9"/>
  <c r="M43" i="12" l="1"/>
  <c r="M55" i="12"/>
  <c r="M56" i="12"/>
  <c r="M54" i="12"/>
  <c r="M59" i="12"/>
  <c r="F124" i="8"/>
  <c r="D124" i="8"/>
  <c r="N124" i="8" s="1"/>
  <c r="M43" i="3"/>
  <c r="M56" i="3"/>
  <c r="M51" i="3"/>
  <c r="M53" i="3"/>
  <c r="M52" i="3"/>
  <c r="D76" i="10"/>
  <c r="J213" i="10"/>
  <c r="I214" i="10"/>
  <c r="C76" i="9"/>
  <c r="E124" i="8" l="1"/>
  <c r="C125" i="8" s="1"/>
  <c r="F125" i="8" s="1"/>
  <c r="D125" i="8"/>
  <c r="N125" i="8" s="1"/>
  <c r="M57" i="3"/>
  <c r="M58" i="3" s="1"/>
  <c r="M54" i="3"/>
  <c r="M55" i="3" s="1"/>
  <c r="M60" i="12"/>
  <c r="M61" i="12" s="1"/>
  <c r="M57" i="12"/>
  <c r="M58" i="12" s="1"/>
  <c r="I215" i="10"/>
  <c r="E76" i="10"/>
  <c r="O76" i="10"/>
  <c r="D76" i="9"/>
  <c r="E125" i="8" l="1"/>
  <c r="C77" i="10"/>
  <c r="I216" i="10"/>
  <c r="O76" i="9"/>
  <c r="E76" i="9"/>
  <c r="C126" i="8" l="1"/>
  <c r="I217" i="10"/>
  <c r="D77" i="10"/>
  <c r="C77" i="9"/>
  <c r="F126" i="8" l="1"/>
  <c r="D126" i="8"/>
  <c r="N126" i="8" s="1"/>
  <c r="E77" i="10"/>
  <c r="C78" i="10" s="1"/>
  <c r="O77" i="10"/>
  <c r="I218" i="10"/>
  <c r="D77" i="9"/>
  <c r="E126" i="8" l="1"/>
  <c r="I219" i="10"/>
  <c r="D78" i="10"/>
  <c r="O77" i="9"/>
  <c r="E77" i="9"/>
  <c r="C78" i="9" s="1"/>
  <c r="C127" i="8" l="1"/>
  <c r="E78" i="10"/>
  <c r="C79" i="10" s="1"/>
  <c r="O78" i="10"/>
  <c r="I220" i="10"/>
  <c r="D78" i="9"/>
  <c r="F127" i="8" l="1"/>
  <c r="D127" i="8"/>
  <c r="N127" i="8" s="1"/>
  <c r="I221" i="10"/>
  <c r="D79" i="10"/>
  <c r="E78" i="9"/>
  <c r="C79" i="9" s="1"/>
  <c r="O78" i="9"/>
  <c r="E127" i="8" l="1"/>
  <c r="E79" i="10"/>
  <c r="C80" i="10" s="1"/>
  <c r="C81" i="10" s="1"/>
  <c r="O79" i="10"/>
  <c r="I222" i="10"/>
  <c r="I223" i="10"/>
  <c r="D79" i="9"/>
  <c r="C128" i="8" l="1"/>
  <c r="I224" i="10"/>
  <c r="D81" i="10"/>
  <c r="O79" i="9"/>
  <c r="E79" i="9"/>
  <c r="C80" i="9" s="1"/>
  <c r="C81" i="9" s="1"/>
  <c r="F128" i="8" l="1"/>
  <c r="D128" i="8"/>
  <c r="N128" i="8" s="1"/>
  <c r="E81" i="10"/>
  <c r="C82" i="10" s="1"/>
  <c r="O81" i="10"/>
  <c r="D81" i="9"/>
  <c r="E128" i="8" l="1"/>
  <c r="C129" i="8" s="1"/>
  <c r="J225" i="10"/>
  <c r="I226" i="10"/>
  <c r="D82" i="10"/>
  <c r="O81" i="9"/>
  <c r="E81" i="9"/>
  <c r="C82" i="9" s="1"/>
  <c r="D129" i="8" l="1"/>
  <c r="N129" i="8" s="1"/>
  <c r="F129" i="8"/>
  <c r="E129" i="8" s="1"/>
  <c r="C130" i="8" s="1"/>
  <c r="F130" i="8" s="1"/>
  <c r="E82" i="10"/>
  <c r="C83" i="10" s="1"/>
  <c r="O82" i="10"/>
  <c r="I227" i="10"/>
  <c r="D82" i="9"/>
  <c r="D130" i="8" l="1"/>
  <c r="E130" i="8" s="1"/>
  <c r="C131" i="8"/>
  <c r="F131" i="8" s="1"/>
  <c r="I228" i="10"/>
  <c r="D83" i="10"/>
  <c r="K381" i="9"/>
  <c r="E82" i="9"/>
  <c r="C83" i="9" s="1"/>
  <c r="O82" i="9"/>
  <c r="N130" i="8" l="1"/>
  <c r="D131" i="8"/>
  <c r="E83" i="10"/>
  <c r="C84" i="10" s="1"/>
  <c r="O83" i="10"/>
  <c r="I229" i="10"/>
  <c r="D83" i="9"/>
  <c r="E131" i="8" l="1"/>
  <c r="N131" i="8"/>
  <c r="I230" i="10"/>
  <c r="D84" i="10"/>
  <c r="O83" i="9"/>
  <c r="E83" i="9"/>
  <c r="C84" i="9" s="1"/>
  <c r="C132" i="8" l="1"/>
  <c r="C133" i="8" s="1"/>
  <c r="F133" i="8" s="1"/>
  <c r="I231" i="10"/>
  <c r="E84" i="10"/>
  <c r="O84" i="10"/>
  <c r="P84" i="10" s="1"/>
  <c r="L84" i="10"/>
  <c r="Q84" i="10" s="1"/>
  <c r="D84" i="9"/>
  <c r="D133" i="8" l="1"/>
  <c r="K84" i="10"/>
  <c r="R84" i="10" s="1"/>
  <c r="C85" i="10"/>
  <c r="I232" i="10"/>
  <c r="E84" i="9"/>
  <c r="O84" i="9"/>
  <c r="P84" i="9" s="1"/>
  <c r="L84" i="9"/>
  <c r="Q84" i="9" s="1"/>
  <c r="E133" i="8" l="1"/>
  <c r="N133" i="8"/>
  <c r="I233" i="10"/>
  <c r="D85" i="10"/>
  <c r="K84" i="9"/>
  <c r="R84" i="9" s="1"/>
  <c r="C85" i="9"/>
  <c r="C134" i="8" l="1"/>
  <c r="F134" i="8" s="1"/>
  <c r="E85" i="10"/>
  <c r="O85" i="10"/>
  <c r="I234" i="10"/>
  <c r="I235" i="10"/>
  <c r="D85" i="9"/>
  <c r="D134" i="8" l="1"/>
  <c r="I236" i="10"/>
  <c r="C86" i="10"/>
  <c r="O85" i="9"/>
  <c r="E85" i="9"/>
  <c r="E134" i="8" l="1"/>
  <c r="N134" i="8"/>
  <c r="D86" i="10"/>
  <c r="C86" i="9"/>
  <c r="C135" i="8" l="1"/>
  <c r="F135" i="8" s="1"/>
  <c r="J237" i="10"/>
  <c r="I238" i="10"/>
  <c r="E86" i="10"/>
  <c r="O86" i="10"/>
  <c r="D86" i="9"/>
  <c r="D135" i="8" l="1"/>
  <c r="I239" i="10"/>
  <c r="C87" i="10"/>
  <c r="O86" i="9"/>
  <c r="E86" i="9"/>
  <c r="E135" i="8" l="1"/>
  <c r="N135" i="8"/>
  <c r="D87" i="10"/>
  <c r="I240" i="10"/>
  <c r="C87" i="9"/>
  <c r="C136" i="8" l="1"/>
  <c r="F136" i="8" s="1"/>
  <c r="I241" i="10"/>
  <c r="E87" i="10"/>
  <c r="O87" i="10"/>
  <c r="D87" i="9"/>
  <c r="D136" i="8" l="1"/>
  <c r="C88" i="10"/>
  <c r="I242" i="10"/>
  <c r="E87" i="9"/>
  <c r="O87" i="9"/>
  <c r="E136" i="8" l="1"/>
  <c r="N136" i="8"/>
  <c r="O136" i="8" s="1"/>
  <c r="K136" i="8"/>
  <c r="P136" i="8" s="1"/>
  <c r="S136" i="8" s="1"/>
  <c r="I243" i="10"/>
  <c r="D88" i="10"/>
  <c r="C88" i="9"/>
  <c r="N42" i="3" l="1"/>
  <c r="N43" i="3" s="1"/>
  <c r="N42" i="12"/>
  <c r="J136" i="8"/>
  <c r="Q136" i="8" s="1"/>
  <c r="C137" i="8"/>
  <c r="F137" i="8" s="1"/>
  <c r="E88" i="10"/>
  <c r="O88" i="10"/>
  <c r="I244" i="10"/>
  <c r="D88" i="9"/>
  <c r="N51" i="3" l="1"/>
  <c r="N52" i="3"/>
  <c r="N53" i="3"/>
  <c r="N56" i="3"/>
  <c r="N43" i="12"/>
  <c r="N55" i="12"/>
  <c r="N54" i="12"/>
  <c r="N56" i="12"/>
  <c r="N59" i="12"/>
  <c r="D137" i="8"/>
  <c r="I245" i="10"/>
  <c r="C89" i="10"/>
  <c r="O88" i="9"/>
  <c r="E88" i="9"/>
  <c r="N54" i="3" l="1"/>
  <c r="N55" i="3" s="1"/>
  <c r="N57" i="3"/>
  <c r="N58" i="3" s="1"/>
  <c r="N60" i="12"/>
  <c r="N61" i="12" s="1"/>
  <c r="N57" i="12"/>
  <c r="N58" i="12" s="1"/>
  <c r="E137" i="8"/>
  <c r="N137" i="8"/>
  <c r="D89" i="10"/>
  <c r="I246" i="10"/>
  <c r="I247" i="10"/>
  <c r="C89" i="9"/>
  <c r="C138" i="8" l="1"/>
  <c r="F138" i="8" s="1"/>
  <c r="E89" i="10"/>
  <c r="O89" i="10"/>
  <c r="I248" i="10"/>
  <c r="D89" i="9"/>
  <c r="D138" i="8" l="1"/>
  <c r="C90" i="10"/>
  <c r="O89" i="9"/>
  <c r="E89" i="9"/>
  <c r="N138" i="8" l="1"/>
  <c r="E138" i="8"/>
  <c r="D90" i="10"/>
  <c r="J249" i="10"/>
  <c r="I250" i="10"/>
  <c r="C90" i="9"/>
  <c r="C139" i="8" l="1"/>
  <c r="F139" i="8" s="1"/>
  <c r="I251" i="10"/>
  <c r="E90" i="10"/>
  <c r="C91" i="10" s="1"/>
  <c r="O90" i="10"/>
  <c r="D90" i="9"/>
  <c r="D139" i="8" l="1"/>
  <c r="D91" i="10"/>
  <c r="I252" i="10"/>
  <c r="O90" i="9"/>
  <c r="E90" i="9"/>
  <c r="C91" i="9" s="1"/>
  <c r="E139" i="8" l="1"/>
  <c r="N139" i="8"/>
  <c r="I253" i="10"/>
  <c r="E91" i="10"/>
  <c r="C92" i="10" s="1"/>
  <c r="O91" i="10"/>
  <c r="D91" i="9"/>
  <c r="C140" i="8" l="1"/>
  <c r="F140" i="8" s="1"/>
  <c r="D92" i="10"/>
  <c r="I254" i="10"/>
  <c r="O91" i="9"/>
  <c r="E91" i="9"/>
  <c r="C92" i="9" s="1"/>
  <c r="D140" i="8" l="1"/>
  <c r="I255" i="10"/>
  <c r="E92" i="10"/>
  <c r="C93" i="10" s="1"/>
  <c r="C94" i="10" s="1"/>
  <c r="O92" i="10"/>
  <c r="D92" i="9"/>
  <c r="E140" i="8" l="1"/>
  <c r="N140" i="8"/>
  <c r="D94" i="10"/>
  <c r="I256" i="10"/>
  <c r="O92" i="9"/>
  <c r="E92" i="9"/>
  <c r="C93" i="9" s="1"/>
  <c r="C94" i="9" s="1"/>
  <c r="C141" i="8" l="1"/>
  <c r="F141" i="8" s="1"/>
  <c r="I257" i="10"/>
  <c r="E94" i="10"/>
  <c r="C95" i="10" s="1"/>
  <c r="O94" i="10"/>
  <c r="D94" i="9"/>
  <c r="D141" i="8" l="1"/>
  <c r="D95" i="10"/>
  <c r="I258" i="10"/>
  <c r="I259" i="10"/>
  <c r="O94" i="9"/>
  <c r="E94" i="9"/>
  <c r="C95" i="9" s="1"/>
  <c r="N141" i="8" l="1"/>
  <c r="E141" i="8"/>
  <c r="I260" i="10"/>
  <c r="E95" i="10"/>
  <c r="C96" i="10" s="1"/>
  <c r="O95" i="10"/>
  <c r="D95" i="9"/>
  <c r="C142" i="8" l="1"/>
  <c r="F142" i="8" s="1"/>
  <c r="D96" i="10"/>
  <c r="O95" i="9"/>
  <c r="E95" i="9"/>
  <c r="C96" i="9" s="1"/>
  <c r="D142" i="8" l="1"/>
  <c r="I262" i="10"/>
  <c r="J261" i="10"/>
  <c r="E96" i="10"/>
  <c r="C97" i="10" s="1"/>
  <c r="O96" i="10"/>
  <c r="D96" i="9"/>
  <c r="N142" i="8" l="1"/>
  <c r="E142" i="8"/>
  <c r="D97" i="10"/>
  <c r="I263" i="10"/>
  <c r="O96" i="9"/>
  <c r="E96" i="9"/>
  <c r="C97" i="9" s="1"/>
  <c r="C143" i="8" l="1"/>
  <c r="F143" i="8" s="1"/>
  <c r="I264" i="10"/>
  <c r="E97" i="10"/>
  <c r="O97" i="10"/>
  <c r="P97" i="10" s="1"/>
  <c r="L97" i="10"/>
  <c r="Q97" i="10" s="1"/>
  <c r="D97" i="9"/>
  <c r="D143" i="8" l="1"/>
  <c r="K97" i="10"/>
  <c r="R97" i="10" s="1"/>
  <c r="C98" i="10"/>
  <c r="I265" i="10"/>
  <c r="E97" i="9"/>
  <c r="O97" i="9"/>
  <c r="P97" i="9" s="1"/>
  <c r="L97" i="9"/>
  <c r="Q97" i="9" s="1"/>
  <c r="N143" i="8" l="1"/>
  <c r="E143" i="8"/>
  <c r="I266" i="10"/>
  <c r="D98" i="10"/>
  <c r="K97" i="9"/>
  <c r="R97" i="9" s="1"/>
  <c r="C98" i="9"/>
  <c r="C144" i="8" l="1"/>
  <c r="E98" i="10"/>
  <c r="O98" i="10"/>
  <c r="I267" i="10"/>
  <c r="D98" i="9"/>
  <c r="D144" i="8" l="1"/>
  <c r="N144" i="8" s="1"/>
  <c r="F144" i="8"/>
  <c r="I268" i="10"/>
  <c r="C99" i="10"/>
  <c r="E98" i="9"/>
  <c r="O98" i="9"/>
  <c r="E144" i="8" l="1"/>
  <c r="C145" i="8" s="1"/>
  <c r="C146" i="8" s="1"/>
  <c r="F146" i="8" s="1"/>
  <c r="D99" i="10"/>
  <c r="I269" i="10"/>
  <c r="C99" i="9"/>
  <c r="D146" i="8" l="1"/>
  <c r="N146" i="8" s="1"/>
  <c r="I270" i="10"/>
  <c r="I271" i="10"/>
  <c r="E99" i="10"/>
  <c r="O99" i="10"/>
  <c r="D99" i="9"/>
  <c r="E146" i="8" l="1"/>
  <c r="C100" i="10"/>
  <c r="I272" i="10"/>
  <c r="E99" i="9"/>
  <c r="O99" i="9"/>
  <c r="C147" i="8" l="1"/>
  <c r="F147" i="8" s="1"/>
  <c r="D100" i="10"/>
  <c r="C100" i="9"/>
  <c r="D147" i="8" l="1"/>
  <c r="E147" i="8" s="1"/>
  <c r="E100" i="10"/>
  <c r="O100" i="10"/>
  <c r="J273" i="10"/>
  <c r="I274" i="10"/>
  <c r="D100" i="9"/>
  <c r="N147" i="8" l="1"/>
  <c r="C148" i="8"/>
  <c r="F148" i="8" s="1"/>
  <c r="I275" i="10"/>
  <c r="C101" i="10"/>
  <c r="O100" i="9"/>
  <c r="E100" i="9"/>
  <c r="D148" i="8" l="1"/>
  <c r="D101" i="10"/>
  <c r="I276" i="10"/>
  <c r="C101" i="9"/>
  <c r="E148" i="8" l="1"/>
  <c r="N148" i="8"/>
  <c r="E101" i="10"/>
  <c r="O101" i="10"/>
  <c r="I277" i="10"/>
  <c r="D101" i="9"/>
  <c r="C149" i="8" l="1"/>
  <c r="F149" i="8" s="1"/>
  <c r="I278" i="10"/>
  <c r="C102" i="10"/>
  <c r="E101" i="9"/>
  <c r="O101" i="9"/>
  <c r="D149" i="8" l="1"/>
  <c r="D102" i="10"/>
  <c r="I279" i="10"/>
  <c r="C102" i="9"/>
  <c r="E149" i="8" l="1"/>
  <c r="N149" i="8"/>
  <c r="O149" i="8" s="1"/>
  <c r="K149" i="8"/>
  <c r="P149" i="8" s="1"/>
  <c r="S149" i="8" s="1"/>
  <c r="I280" i="10"/>
  <c r="E102" i="10"/>
  <c r="O102" i="10"/>
  <c r="D102" i="9"/>
  <c r="O42" i="3" l="1"/>
  <c r="O43" i="3" s="1"/>
  <c r="O42" i="12"/>
  <c r="J149" i="8"/>
  <c r="Q149" i="8" s="1"/>
  <c r="C150" i="8"/>
  <c r="F150" i="8" s="1"/>
  <c r="C103" i="10"/>
  <c r="I281" i="10"/>
  <c r="O102" i="9"/>
  <c r="E102" i="9"/>
  <c r="O56" i="3" l="1"/>
  <c r="O51" i="3"/>
  <c r="O52" i="3"/>
  <c r="O53" i="3"/>
  <c r="O54" i="3" s="1"/>
  <c r="O55" i="3" s="1"/>
  <c r="O43" i="12"/>
  <c r="O54" i="12"/>
  <c r="O55" i="12"/>
  <c r="O59" i="12"/>
  <c r="O56" i="12"/>
  <c r="O57" i="3"/>
  <c r="O58" i="3" s="1"/>
  <c r="D150" i="8"/>
  <c r="D103" i="10"/>
  <c r="I282" i="10"/>
  <c r="I283" i="10"/>
  <c r="C103" i="9"/>
  <c r="O57" i="12" l="1"/>
  <c r="O58" i="12" s="1"/>
  <c r="O60" i="12"/>
  <c r="O61" i="12" s="1"/>
  <c r="E150" i="8"/>
  <c r="N150" i="8"/>
  <c r="I284" i="10"/>
  <c r="E103" i="10"/>
  <c r="C104" i="10" s="1"/>
  <c r="O103" i="10"/>
  <c r="D103" i="9"/>
  <c r="C151" i="8" l="1"/>
  <c r="F151" i="8" s="1"/>
  <c r="D104" i="10"/>
  <c r="E103" i="9"/>
  <c r="C104" i="9" s="1"/>
  <c r="O103" i="9"/>
  <c r="D151" i="8" l="1"/>
  <c r="J285" i="10"/>
  <c r="I286" i="10"/>
  <c r="E104" i="10"/>
  <c r="C105" i="10" s="1"/>
  <c r="O104" i="10"/>
  <c r="D104" i="9"/>
  <c r="N151" i="8" l="1"/>
  <c r="E151" i="8"/>
  <c r="D105" i="10"/>
  <c r="I287" i="10"/>
  <c r="O104" i="9"/>
  <c r="E104" i="9"/>
  <c r="C105" i="9" s="1"/>
  <c r="C152" i="8" l="1"/>
  <c r="F152" i="8" s="1"/>
  <c r="I288" i="10"/>
  <c r="E105" i="10"/>
  <c r="C106" i="10" s="1"/>
  <c r="C107" i="10" s="1"/>
  <c r="O105" i="10"/>
  <c r="D105" i="9"/>
  <c r="D152" i="8" l="1"/>
  <c r="D107" i="10"/>
  <c r="I289" i="10"/>
  <c r="E105" i="9"/>
  <c r="C106" i="9" s="1"/>
  <c r="C107" i="9" s="1"/>
  <c r="O105" i="9"/>
  <c r="E152" i="8" l="1"/>
  <c r="N152" i="8"/>
  <c r="I290" i="10"/>
  <c r="E107" i="10"/>
  <c r="C108" i="10" s="1"/>
  <c r="O107" i="10"/>
  <c r="D107" i="9"/>
  <c r="C153" i="8" l="1"/>
  <c r="F153" i="8" s="1"/>
  <c r="D108" i="10"/>
  <c r="I291" i="10"/>
  <c r="O107" i="9"/>
  <c r="E107" i="9"/>
  <c r="C108" i="9" s="1"/>
  <c r="D153" i="8" l="1"/>
  <c r="I292" i="10"/>
  <c r="E108" i="10"/>
  <c r="C109" i="10" s="1"/>
  <c r="O108" i="10"/>
  <c r="D108" i="9"/>
  <c r="N153" i="8" l="1"/>
  <c r="E153" i="8"/>
  <c r="D109" i="10"/>
  <c r="I293" i="10"/>
  <c r="O108" i="9"/>
  <c r="E108" i="9"/>
  <c r="C109" i="9" s="1"/>
  <c r="C154" i="8" l="1"/>
  <c r="F154" i="8" s="1"/>
  <c r="I294" i="10"/>
  <c r="I295" i="10"/>
  <c r="E109" i="10"/>
  <c r="C110" i="10" s="1"/>
  <c r="O109" i="10"/>
  <c r="D109" i="9"/>
  <c r="D154" i="8" l="1"/>
  <c r="D110" i="10"/>
  <c r="I296" i="10"/>
  <c r="O109" i="9"/>
  <c r="E109" i="9"/>
  <c r="C110" i="9" s="1"/>
  <c r="E154" i="8" l="1"/>
  <c r="N154" i="8"/>
  <c r="E110" i="10"/>
  <c r="O110" i="10"/>
  <c r="P110" i="10" s="1"/>
  <c r="L110" i="10"/>
  <c r="Q110" i="10" s="1"/>
  <c r="D110" i="9"/>
  <c r="C155" i="8" l="1"/>
  <c r="F155" i="8" s="1"/>
  <c r="K110" i="10"/>
  <c r="R110" i="10" s="1"/>
  <c r="C111" i="10"/>
  <c r="J297" i="10"/>
  <c r="I298" i="10"/>
  <c r="E110" i="9"/>
  <c r="O110" i="9"/>
  <c r="P110" i="9" s="1"/>
  <c r="L110" i="9"/>
  <c r="Q110" i="9" s="1"/>
  <c r="D155" i="8" l="1"/>
  <c r="I299" i="10"/>
  <c r="D111" i="10"/>
  <c r="K110" i="9"/>
  <c r="R110" i="9" s="1"/>
  <c r="C111" i="9"/>
  <c r="E155" i="8" l="1"/>
  <c r="N155" i="8"/>
  <c r="E111" i="10"/>
  <c r="O111" i="10"/>
  <c r="I300" i="10"/>
  <c r="D111" i="9"/>
  <c r="C156" i="8" l="1"/>
  <c r="F156" i="8" s="1"/>
  <c r="I301" i="10"/>
  <c r="C112" i="10"/>
  <c r="E111" i="9"/>
  <c r="O111" i="9"/>
  <c r="D156" i="8" l="1"/>
  <c r="D112" i="10"/>
  <c r="I302" i="10"/>
  <c r="C112" i="9"/>
  <c r="E156" i="8" l="1"/>
  <c r="N156" i="8"/>
  <c r="I303" i="10"/>
  <c r="E112" i="10"/>
  <c r="O112" i="10"/>
  <c r="D112" i="9"/>
  <c r="C157" i="8" l="1"/>
  <c r="F157" i="8" s="1"/>
  <c r="I304" i="10"/>
  <c r="C113" i="10"/>
  <c r="O112" i="9"/>
  <c r="E112" i="9"/>
  <c r="D157" i="8" l="1"/>
  <c r="I305" i="10"/>
  <c r="D113" i="10"/>
  <c r="C113" i="9"/>
  <c r="E157" i="8" l="1"/>
  <c r="N157" i="8"/>
  <c r="E113" i="10"/>
  <c r="O113" i="10"/>
  <c r="I307" i="10"/>
  <c r="I306" i="10"/>
  <c r="D113" i="9"/>
  <c r="C158" i="8" l="1"/>
  <c r="C159" i="8" s="1"/>
  <c r="F159" i="8" s="1"/>
  <c r="I308" i="10"/>
  <c r="C114" i="10"/>
  <c r="O113" i="9"/>
  <c r="E113" i="9"/>
  <c r="D159" i="8" l="1"/>
  <c r="D114" i="10"/>
  <c r="C114" i="9"/>
  <c r="E159" i="8" l="1"/>
  <c r="N159" i="8"/>
  <c r="J309" i="10"/>
  <c r="I310" i="10"/>
  <c r="E114" i="10"/>
  <c r="O114" i="10"/>
  <c r="D114" i="9"/>
  <c r="C160" i="8" l="1"/>
  <c r="F160" i="8" s="1"/>
  <c r="C115" i="10"/>
  <c r="I311" i="10"/>
  <c r="E114" i="9"/>
  <c r="O114" i="9"/>
  <c r="D160" i="8" l="1"/>
  <c r="D115" i="10"/>
  <c r="I312" i="10"/>
  <c r="C115" i="9"/>
  <c r="E160" i="8" l="1"/>
  <c r="N160" i="8"/>
  <c r="I313" i="10"/>
  <c r="E115" i="10"/>
  <c r="O115" i="10"/>
  <c r="D115" i="9"/>
  <c r="C161" i="8" l="1"/>
  <c r="F161" i="8" s="1"/>
  <c r="I314" i="10"/>
  <c r="C116" i="10"/>
  <c r="O115" i="9"/>
  <c r="E115" i="9"/>
  <c r="D161" i="8" l="1"/>
  <c r="D116" i="10"/>
  <c r="I315" i="10"/>
  <c r="C116" i="9"/>
  <c r="N161" i="8" l="1"/>
  <c r="E161" i="8"/>
  <c r="I316" i="10"/>
  <c r="E116" i="10"/>
  <c r="C117" i="10" s="1"/>
  <c r="O116" i="10"/>
  <c r="D116" i="9"/>
  <c r="C162" i="8" l="1"/>
  <c r="F162" i="8" s="1"/>
  <c r="D117" i="10"/>
  <c r="I317" i="10"/>
  <c r="O116" i="9"/>
  <c r="E116" i="9"/>
  <c r="C117" i="9" s="1"/>
  <c r="D162" i="8" l="1"/>
  <c r="I318" i="10"/>
  <c r="I319" i="10"/>
  <c r="E117" i="10"/>
  <c r="C118" i="10" s="1"/>
  <c r="O117" i="10"/>
  <c r="D117" i="9"/>
  <c r="E162" i="8" l="1"/>
  <c r="N162" i="8"/>
  <c r="O162" i="8" s="1"/>
  <c r="K162" i="8"/>
  <c r="D118" i="10"/>
  <c r="I320" i="10"/>
  <c r="O117" i="9"/>
  <c r="E117" i="9"/>
  <c r="C118" i="9" s="1"/>
  <c r="P42" i="3" l="1"/>
  <c r="P43" i="3" s="1"/>
  <c r="P42" i="12"/>
  <c r="J162" i="8"/>
  <c r="C163" i="8"/>
  <c r="F163" i="8" s="1"/>
  <c r="P162" i="8"/>
  <c r="E118" i="10"/>
  <c r="C119" i="10" s="1"/>
  <c r="C120" i="10" s="1"/>
  <c r="O118" i="10"/>
  <c r="D118" i="9"/>
  <c r="P51" i="3" l="1"/>
  <c r="P52" i="3"/>
  <c r="P56" i="3"/>
  <c r="P53" i="3"/>
  <c r="P57" i="3" s="1"/>
  <c r="P58" i="3" s="1"/>
  <c r="P43" i="12"/>
  <c r="P54" i="12"/>
  <c r="P55" i="12"/>
  <c r="P56" i="12"/>
  <c r="P59" i="12"/>
  <c r="S162" i="8"/>
  <c r="D163" i="8"/>
  <c r="Q162" i="8"/>
  <c r="D120" i="10"/>
  <c r="J321" i="10"/>
  <c r="I322" i="10"/>
  <c r="O118" i="9"/>
  <c r="E118" i="9"/>
  <c r="C119" i="9" s="1"/>
  <c r="C120" i="9" s="1"/>
  <c r="P54" i="3" l="1"/>
  <c r="P55" i="3" s="1"/>
  <c r="P60" i="12"/>
  <c r="P61" i="12" s="1"/>
  <c r="P57" i="12"/>
  <c r="P58" i="12" s="1"/>
  <c r="N163" i="8"/>
  <c r="E163" i="8"/>
  <c r="I323" i="10"/>
  <c r="E120" i="10"/>
  <c r="C121" i="10" s="1"/>
  <c r="O120" i="10"/>
  <c r="D120" i="9"/>
  <c r="C164" i="8" l="1"/>
  <c r="F164" i="8" s="1"/>
  <c r="D121" i="10"/>
  <c r="I324" i="10"/>
  <c r="O120" i="9"/>
  <c r="E120" i="9"/>
  <c r="C121" i="9" s="1"/>
  <c r="D164" i="8" l="1"/>
  <c r="I325" i="10"/>
  <c r="E121" i="10"/>
  <c r="C122" i="10" s="1"/>
  <c r="O121" i="10"/>
  <c r="D121" i="9"/>
  <c r="E164" i="8" l="1"/>
  <c r="N164" i="8"/>
  <c r="D122" i="10"/>
  <c r="I326" i="10"/>
  <c r="O121" i="9"/>
  <c r="E121" i="9"/>
  <c r="C122" i="9" s="1"/>
  <c r="C165" i="8" l="1"/>
  <c r="F165" i="8" s="1"/>
  <c r="I327" i="10"/>
  <c r="E122" i="10"/>
  <c r="C123" i="10" s="1"/>
  <c r="O122" i="10"/>
  <c r="D122" i="9"/>
  <c r="D165" i="8" l="1"/>
  <c r="D123" i="10"/>
  <c r="I328" i="10"/>
  <c r="O122" i="9"/>
  <c r="E122" i="9"/>
  <c r="C123" i="9" s="1"/>
  <c r="N165" i="8" l="1"/>
  <c r="E165" i="8"/>
  <c r="I329" i="10"/>
  <c r="E123" i="10"/>
  <c r="O123" i="10"/>
  <c r="P123" i="10" s="1"/>
  <c r="L123" i="10"/>
  <c r="Q123" i="10" s="1"/>
  <c r="D123" i="9"/>
  <c r="C166" i="8" l="1"/>
  <c r="F166" i="8" s="1"/>
  <c r="K123" i="10"/>
  <c r="R123" i="10" s="1"/>
  <c r="C124" i="10"/>
  <c r="I330" i="10"/>
  <c r="I331" i="10"/>
  <c r="O123" i="9"/>
  <c r="P123" i="9" s="1"/>
  <c r="E123" i="9"/>
  <c r="L123" i="9"/>
  <c r="Q123" i="9" s="1"/>
  <c r="D166" i="8" l="1"/>
  <c r="I332" i="10"/>
  <c r="D124" i="10"/>
  <c r="K123" i="9"/>
  <c r="R123" i="9" s="1"/>
  <c r="C124" i="9"/>
  <c r="E166" i="8" l="1"/>
  <c r="N166" i="8"/>
  <c r="E124" i="10"/>
  <c r="O124" i="10"/>
  <c r="D124" i="9"/>
  <c r="C167" i="8" l="1"/>
  <c r="F167" i="8" s="1"/>
  <c r="I334" i="10"/>
  <c r="J333" i="10"/>
  <c r="C125" i="10"/>
  <c r="O124" i="9"/>
  <c r="E124" i="9"/>
  <c r="D167" i="8" l="1"/>
  <c r="D125" i="10"/>
  <c r="I335" i="10"/>
  <c r="C125" i="9"/>
  <c r="E167" i="8" l="1"/>
  <c r="N167" i="8"/>
  <c r="I336" i="10"/>
  <c r="E125" i="10"/>
  <c r="O125" i="10"/>
  <c r="D125" i="9"/>
  <c r="C168" i="8" l="1"/>
  <c r="C126" i="10"/>
  <c r="I337" i="10"/>
  <c r="E125" i="9"/>
  <c r="O125" i="9"/>
  <c r="D168" i="8" l="1"/>
  <c r="N168" i="8" s="1"/>
  <c r="F168" i="8"/>
  <c r="I338" i="10"/>
  <c r="D126" i="10"/>
  <c r="C126" i="9"/>
  <c r="E168" i="8" l="1"/>
  <c r="C169" i="8" s="1"/>
  <c r="F169" i="8" s="1"/>
  <c r="E126" i="10"/>
  <c r="O126" i="10"/>
  <c r="I339" i="10"/>
  <c r="D126" i="9"/>
  <c r="D169" i="8" l="1"/>
  <c r="E169" i="8" s="1"/>
  <c r="I340" i="10"/>
  <c r="C127" i="10"/>
  <c r="O126" i="9"/>
  <c r="E126" i="9"/>
  <c r="N169" i="8" l="1"/>
  <c r="C170" i="8"/>
  <c r="F170" i="8" s="1"/>
  <c r="D127" i="10"/>
  <c r="I341" i="10"/>
  <c r="C127" i="9"/>
  <c r="D170" i="8" l="1"/>
  <c r="I342" i="10"/>
  <c r="I343" i="10"/>
  <c r="E127" i="10"/>
  <c r="O127" i="10"/>
  <c r="D127" i="9"/>
  <c r="E170" i="8" l="1"/>
  <c r="N170" i="8"/>
  <c r="C128" i="10"/>
  <c r="I344" i="10"/>
  <c r="O127" i="9"/>
  <c r="E127" i="9"/>
  <c r="C171" i="8" l="1"/>
  <c r="D128" i="10"/>
  <c r="C128" i="9"/>
  <c r="C172" i="8" l="1"/>
  <c r="E128" i="10"/>
  <c r="O128" i="10"/>
  <c r="J345" i="10"/>
  <c r="I346" i="10"/>
  <c r="D128" i="9"/>
  <c r="D172" i="8" l="1"/>
  <c r="N172" i="8" s="1"/>
  <c r="F172" i="8"/>
  <c r="I347" i="10"/>
  <c r="C129" i="10"/>
  <c r="O128" i="9"/>
  <c r="E128" i="9"/>
  <c r="E172" i="8" l="1"/>
  <c r="D129" i="10"/>
  <c r="I348" i="10"/>
  <c r="C129" i="9"/>
  <c r="C173" i="8" l="1"/>
  <c r="D173" i="8" s="1"/>
  <c r="N173" i="8" s="1"/>
  <c r="I349" i="10"/>
  <c r="E129" i="10"/>
  <c r="C130" i="10" s="1"/>
  <c r="O129" i="10"/>
  <c r="D129" i="9"/>
  <c r="F173" i="8" l="1"/>
  <c r="E173" i="8" s="1"/>
  <c r="C174" i="8" s="1"/>
  <c r="F174" i="8" s="1"/>
  <c r="D130" i="10"/>
  <c r="I350" i="10"/>
  <c r="E129" i="9"/>
  <c r="C130" i="9" s="1"/>
  <c r="O129" i="9"/>
  <c r="D174" i="8" l="1"/>
  <c r="E174" i="8" s="1"/>
  <c r="I351" i="10"/>
  <c r="E130" i="10"/>
  <c r="C131" i="10" s="1"/>
  <c r="O130" i="10"/>
  <c r="D130" i="9"/>
  <c r="N174" i="8" l="1"/>
  <c r="C175" i="8"/>
  <c r="F175" i="8" s="1"/>
  <c r="D131" i="10"/>
  <c r="I352" i="10"/>
  <c r="O130" i="9"/>
  <c r="E130" i="9"/>
  <c r="C131" i="9" s="1"/>
  <c r="D175" i="8" l="1"/>
  <c r="I353" i="10"/>
  <c r="E131" i="10"/>
  <c r="C132" i="10" s="1"/>
  <c r="C133" i="10" s="1"/>
  <c r="O131" i="10"/>
  <c r="D131" i="9"/>
  <c r="E175" i="8" l="1"/>
  <c r="N175" i="8"/>
  <c r="O175" i="8" s="1"/>
  <c r="K175" i="8"/>
  <c r="D133" i="10"/>
  <c r="I354" i="10"/>
  <c r="I355" i="10"/>
  <c r="O131" i="9"/>
  <c r="E131" i="9"/>
  <c r="C132" i="9" s="1"/>
  <c r="C133" i="9" s="1"/>
  <c r="Q42" i="3" l="1"/>
  <c r="Q42" i="12"/>
  <c r="P175" i="8"/>
  <c r="J175" i="8"/>
  <c r="C176" i="8"/>
  <c r="F176" i="8" s="1"/>
  <c r="I356" i="10"/>
  <c r="E133" i="10"/>
  <c r="C134" i="10" s="1"/>
  <c r="O133" i="10"/>
  <c r="D133" i="9"/>
  <c r="Q52" i="3" l="1"/>
  <c r="Q51" i="3"/>
  <c r="Q43" i="3"/>
  <c r="Q56" i="3"/>
  <c r="Q53" i="3"/>
  <c r="Q43" i="12"/>
  <c r="Q59" i="12"/>
  <c r="Q56" i="12"/>
  <c r="Q54" i="12"/>
  <c r="Q55" i="12"/>
  <c r="Q175" i="8"/>
  <c r="D176" i="8"/>
  <c r="S175" i="8"/>
  <c r="D134" i="10"/>
  <c r="E133" i="9"/>
  <c r="C134" i="9" s="1"/>
  <c r="O133" i="9"/>
  <c r="Q54" i="3" l="1"/>
  <c r="Q55" i="3" s="1"/>
  <c r="Q57" i="3"/>
  <c r="Q58" i="3" s="1"/>
  <c r="Q57" i="12"/>
  <c r="Q58" i="12" s="1"/>
  <c r="Q60" i="12"/>
  <c r="Q61" i="12" s="1"/>
  <c r="E176" i="8"/>
  <c r="N176" i="8"/>
  <c r="J357" i="10"/>
  <c r="I358" i="10"/>
  <c r="E134" i="10"/>
  <c r="C135" i="10" s="1"/>
  <c r="O134" i="10"/>
  <c r="D134" i="9"/>
  <c r="C177" i="8" l="1"/>
  <c r="F177" i="8" s="1"/>
  <c r="D135" i="10"/>
  <c r="O358" i="10"/>
  <c r="I359" i="10"/>
  <c r="O134" i="9"/>
  <c r="E134" i="9"/>
  <c r="C135" i="9" s="1"/>
  <c r="D177" i="8" l="1"/>
  <c r="I360" i="10"/>
  <c r="O359" i="10"/>
  <c r="E135" i="10"/>
  <c r="C136" i="10" s="1"/>
  <c r="O135" i="10"/>
  <c r="D135" i="9"/>
  <c r="E177" i="8" l="1"/>
  <c r="N177" i="8"/>
  <c r="D136" i="10"/>
  <c r="I361" i="10"/>
  <c r="O360" i="10"/>
  <c r="E135" i="9"/>
  <c r="C136" i="9" s="1"/>
  <c r="O135" i="9"/>
  <c r="C178" i="8" l="1"/>
  <c r="I362" i="10"/>
  <c r="O361" i="10"/>
  <c r="E136" i="10"/>
  <c r="O136" i="10"/>
  <c r="P136" i="10" s="1"/>
  <c r="L136" i="10"/>
  <c r="Q136" i="10" s="1"/>
  <c r="D136" i="9"/>
  <c r="D178" i="8" l="1"/>
  <c r="N178" i="8" s="1"/>
  <c r="F178" i="8"/>
  <c r="I363" i="10"/>
  <c r="O362" i="10"/>
  <c r="K136" i="10"/>
  <c r="R136" i="10" s="1"/>
  <c r="C137" i="10"/>
  <c r="O136" i="9"/>
  <c r="P136" i="9" s="1"/>
  <c r="E136" i="9"/>
  <c r="L136" i="9"/>
  <c r="Q136" i="9" s="1"/>
  <c r="E178" i="8" l="1"/>
  <c r="C179" i="8" s="1"/>
  <c r="F179" i="8" s="1"/>
  <c r="D137" i="10"/>
  <c r="I364" i="10"/>
  <c r="O363" i="10"/>
  <c r="K136" i="9"/>
  <c r="R136" i="9" s="1"/>
  <c r="C137" i="9"/>
  <c r="D179" i="8" l="1"/>
  <c r="E179" i="8" s="1"/>
  <c r="E137" i="10"/>
  <c r="O137" i="10"/>
  <c r="O364" i="10"/>
  <c r="I365" i="10"/>
  <c r="D137" i="9"/>
  <c r="N179" i="8" l="1"/>
  <c r="C180" i="8"/>
  <c r="F180" i="8" s="1"/>
  <c r="O365" i="10"/>
  <c r="I367" i="10"/>
  <c r="I366" i="10"/>
  <c r="O366" i="10" s="1"/>
  <c r="C138" i="10"/>
  <c r="O137" i="9"/>
  <c r="E137" i="9"/>
  <c r="D180" i="8" l="1"/>
  <c r="D138" i="10"/>
  <c r="I368" i="10"/>
  <c r="O367" i="10"/>
  <c r="C138" i="9"/>
  <c r="E180" i="8" l="1"/>
  <c r="N180" i="8"/>
  <c r="O368" i="10"/>
  <c r="E138" i="10"/>
  <c r="O138" i="10"/>
  <c r="D138" i="9"/>
  <c r="C181" i="8" l="1"/>
  <c r="F181" i="8" s="1"/>
  <c r="C139" i="10"/>
  <c r="I370" i="10"/>
  <c r="O369" i="10"/>
  <c r="P369" i="10" s="1"/>
  <c r="J369" i="10"/>
  <c r="L369" i="10"/>
  <c r="Q369" i="10" s="1"/>
  <c r="O138" i="9"/>
  <c r="E138" i="9"/>
  <c r="D181" i="8" l="1"/>
  <c r="O370" i="10"/>
  <c r="I371" i="10"/>
  <c r="D139" i="10"/>
  <c r="C139" i="9"/>
  <c r="E181" i="8" l="1"/>
  <c r="N181" i="8"/>
  <c r="E139" i="10"/>
  <c r="O139" i="10"/>
  <c r="I372" i="10"/>
  <c r="O371" i="10"/>
  <c r="D139" i="9"/>
  <c r="C182" i="8" l="1"/>
  <c r="F182" i="8" s="1"/>
  <c r="I373" i="10"/>
  <c r="O372" i="10"/>
  <c r="C140" i="10"/>
  <c r="O139" i="9"/>
  <c r="E139" i="9"/>
  <c r="D182" i="8" l="1"/>
  <c r="D140" i="10"/>
  <c r="O373" i="10"/>
  <c r="I374" i="10"/>
  <c r="C140" i="9"/>
  <c r="N182" i="8" l="1"/>
  <c r="E182" i="8"/>
  <c r="I375" i="10"/>
  <c r="O374" i="10"/>
  <c r="E140" i="10"/>
  <c r="O140" i="10"/>
  <c r="D140" i="9"/>
  <c r="C183" i="8" l="1"/>
  <c r="F183" i="8" s="1"/>
  <c r="C141" i="10"/>
  <c r="I376" i="10"/>
  <c r="O375" i="10"/>
  <c r="O140" i="9"/>
  <c r="E140" i="9"/>
  <c r="D183" i="8" l="1"/>
  <c r="I377" i="10"/>
  <c r="O376" i="10"/>
  <c r="D141" i="10"/>
  <c r="C141" i="9"/>
  <c r="E183" i="8" l="1"/>
  <c r="N183" i="8"/>
  <c r="E141" i="10"/>
  <c r="O141" i="10"/>
  <c r="I379" i="10"/>
  <c r="I378" i="10"/>
  <c r="O378" i="10" s="1"/>
  <c r="O377" i="10"/>
  <c r="D141" i="9"/>
  <c r="C184" i="8" l="1"/>
  <c r="O379" i="10"/>
  <c r="I380" i="10"/>
  <c r="C142" i="10"/>
  <c r="O141" i="9"/>
  <c r="E141" i="9"/>
  <c r="C185" i="8" l="1"/>
  <c r="F185" i="8" s="1"/>
  <c r="D142" i="10"/>
  <c r="O380" i="10"/>
  <c r="C142" i="9"/>
  <c r="D185" i="8" l="1"/>
  <c r="E185" i="8" s="1"/>
  <c r="O381" i="10"/>
  <c r="P381" i="10" s="1"/>
  <c r="J381" i="10"/>
  <c r="I384" i="10"/>
  <c r="L381" i="10"/>
  <c r="E142" i="10"/>
  <c r="C143" i="10" s="1"/>
  <c r="O142" i="10"/>
  <c r="D142" i="9"/>
  <c r="N185" i="8" l="1"/>
  <c r="C186" i="8"/>
  <c r="F186" i="8" s="1"/>
  <c r="E387" i="10"/>
  <c r="F387" i="10"/>
  <c r="F391" i="10" s="1"/>
  <c r="D143" i="10"/>
  <c r="Q381" i="10"/>
  <c r="O142" i="9"/>
  <c r="E142" i="9"/>
  <c r="C143" i="9" s="1"/>
  <c r="D186" i="8" l="1"/>
  <c r="E143" i="10"/>
  <c r="C144" i="10" s="1"/>
  <c r="O143" i="10"/>
  <c r="D143" i="9"/>
  <c r="E186" i="8" l="1"/>
  <c r="N186" i="8"/>
  <c r="D144" i="10"/>
  <c r="O143" i="9"/>
  <c r="E143" i="9"/>
  <c r="C144" i="9" s="1"/>
  <c r="C187" i="8" l="1"/>
  <c r="F187" i="8" s="1"/>
  <c r="E144" i="10"/>
  <c r="C145" i="10" s="1"/>
  <c r="C146" i="10" s="1"/>
  <c r="O144" i="10"/>
  <c r="D144" i="9"/>
  <c r="D187" i="8" l="1"/>
  <c r="E187" i="8" s="1"/>
  <c r="D146" i="10"/>
  <c r="O144" i="9"/>
  <c r="E144" i="9"/>
  <c r="C145" i="9" s="1"/>
  <c r="C146" i="9" s="1"/>
  <c r="N187" i="8" l="1"/>
  <c r="C188" i="8"/>
  <c r="F188" i="8" s="1"/>
  <c r="E146" i="10"/>
  <c r="C147" i="10" s="1"/>
  <c r="O146" i="10"/>
  <c r="D146" i="9"/>
  <c r="D188" i="8" l="1"/>
  <c r="E188" i="8" s="1"/>
  <c r="R42" i="12" s="1"/>
  <c r="D147" i="10"/>
  <c r="O146" i="9"/>
  <c r="E146" i="9"/>
  <c r="C147" i="9" s="1"/>
  <c r="R43" i="12" l="1"/>
  <c r="R56" i="12"/>
  <c r="R59" i="12"/>
  <c r="R55" i="12"/>
  <c r="R54" i="12"/>
  <c r="K188" i="8"/>
  <c r="P188" i="8" s="1"/>
  <c r="S188" i="8" s="1"/>
  <c r="N188" i="8"/>
  <c r="O188" i="8" s="1"/>
  <c r="C189" i="8"/>
  <c r="F189" i="8" s="1"/>
  <c r="R42" i="3"/>
  <c r="J188" i="8"/>
  <c r="E147" i="10"/>
  <c r="C148" i="10" s="1"/>
  <c r="O147" i="10"/>
  <c r="D147" i="9"/>
  <c r="R60" i="12" l="1"/>
  <c r="R61" i="12" s="1"/>
  <c r="R57" i="12"/>
  <c r="R58" i="12" s="1"/>
  <c r="Q188" i="8"/>
  <c r="D189" i="8"/>
  <c r="N189" i="8" s="1"/>
  <c r="R43" i="3"/>
  <c r="R53" i="3"/>
  <c r="R56" i="3"/>
  <c r="R52" i="3"/>
  <c r="R51" i="3"/>
  <c r="D148" i="10"/>
  <c r="O147" i="9"/>
  <c r="E147" i="9"/>
  <c r="C148" i="9" s="1"/>
  <c r="E189" i="8" l="1"/>
  <c r="R57" i="3"/>
  <c r="R58" i="3" s="1"/>
  <c r="R54" i="3"/>
  <c r="R55" i="3" s="1"/>
  <c r="E148" i="10"/>
  <c r="C149" i="10" s="1"/>
  <c r="O148" i="10"/>
  <c r="D148" i="9"/>
  <c r="C190" i="8" l="1"/>
  <c r="D190" i="8"/>
  <c r="N190" i="8" s="1"/>
  <c r="F190" i="8"/>
  <c r="D149" i="10"/>
  <c r="O148" i="9"/>
  <c r="E148" i="9"/>
  <c r="C149" i="9" s="1"/>
  <c r="E190" i="8" l="1"/>
  <c r="S42" i="12" s="1"/>
  <c r="E149" i="10"/>
  <c r="O149" i="10"/>
  <c r="P149" i="10" s="1"/>
  <c r="L149" i="10"/>
  <c r="D149" i="9"/>
  <c r="S43" i="12" l="1"/>
  <c r="S55" i="12"/>
  <c r="S56" i="12"/>
  <c r="S59" i="12"/>
  <c r="S54" i="12"/>
  <c r="C191" i="8"/>
  <c r="F191" i="8" s="1"/>
  <c r="S42" i="3"/>
  <c r="Q149" i="10"/>
  <c r="K149" i="10"/>
  <c r="C150" i="10"/>
  <c r="O149" i="9"/>
  <c r="P149" i="9" s="1"/>
  <c r="E149" i="9"/>
  <c r="L149" i="9"/>
  <c r="Q149" i="9" s="1"/>
  <c r="S57" i="12" l="1"/>
  <c r="S58" i="12" s="1"/>
  <c r="S60" i="12"/>
  <c r="S61" i="12" s="1"/>
  <c r="T57" i="12"/>
  <c r="T58" i="12" s="1"/>
  <c r="D191" i="8"/>
  <c r="E191" i="8" s="1"/>
  <c r="S43" i="3"/>
  <c r="S53" i="3"/>
  <c r="S56" i="3"/>
  <c r="S52" i="3"/>
  <c r="S51" i="3"/>
  <c r="D150" i="10"/>
  <c r="R149" i="10"/>
  <c r="K149" i="9"/>
  <c r="R149" i="9" s="1"/>
  <c r="C150" i="9"/>
  <c r="T61" i="12" l="1"/>
  <c r="N191" i="8"/>
  <c r="T54" i="3"/>
  <c r="T55" i="3" s="1"/>
  <c r="S57" i="3"/>
  <c r="S58" i="3" s="1"/>
  <c r="S54" i="3"/>
  <c r="S55" i="3" s="1"/>
  <c r="C192" i="8"/>
  <c r="E150" i="10"/>
  <c r="O150" i="10"/>
  <c r="D150" i="9"/>
  <c r="T58" i="3" l="1"/>
  <c r="D192" i="8"/>
  <c r="N192" i="8" s="1"/>
  <c r="F192" i="8"/>
  <c r="C151" i="10"/>
  <c r="E150" i="9"/>
  <c r="O150" i="9"/>
  <c r="E192" i="8" l="1"/>
  <c r="C193" i="8" s="1"/>
  <c r="F193" i="8" s="1"/>
  <c r="D151" i="10"/>
  <c r="C151" i="9"/>
  <c r="D193" i="8" l="1"/>
  <c r="E151" i="10"/>
  <c r="O151" i="10"/>
  <c r="D151" i="9"/>
  <c r="E193" i="8" l="1"/>
  <c r="N193" i="8"/>
  <c r="C152" i="10"/>
  <c r="O151" i="9"/>
  <c r="E151" i="9"/>
  <c r="C194" i="8" l="1"/>
  <c r="F194" i="8" s="1"/>
  <c r="D152" i="10"/>
  <c r="C152" i="9"/>
  <c r="D194" i="8" l="1"/>
  <c r="E152" i="10"/>
  <c r="O152" i="10"/>
  <c r="D152" i="9"/>
  <c r="N194" i="8" l="1"/>
  <c r="E194" i="8"/>
  <c r="C195" i="8" s="1"/>
  <c r="F195" i="8" s="1"/>
  <c r="C153" i="10"/>
  <c r="E152" i="9"/>
  <c r="O152" i="9"/>
  <c r="D195" i="8" l="1"/>
  <c r="D153" i="10"/>
  <c r="C153" i="9"/>
  <c r="E195" i="8" l="1"/>
  <c r="C196" i="8" s="1"/>
  <c r="F196" i="8" s="1"/>
  <c r="N195" i="8"/>
  <c r="E153" i="10"/>
  <c r="O153" i="10"/>
  <c r="D153" i="9"/>
  <c r="D196" i="8" l="1"/>
  <c r="C154" i="10"/>
  <c r="E153" i="9"/>
  <c r="O153" i="9"/>
  <c r="N196" i="8" l="1"/>
  <c r="E196" i="8"/>
  <c r="C197" i="8" s="1"/>
  <c r="C198" i="8" s="1"/>
  <c r="D154" i="10"/>
  <c r="C154" i="9"/>
  <c r="F198" i="8" l="1"/>
  <c r="E154" i="10"/>
  <c r="O154" i="10"/>
  <c r="D154" i="9"/>
  <c r="D198" i="8" l="1"/>
  <c r="E198" i="8" s="1"/>
  <c r="C199" i="8" s="1"/>
  <c r="F199" i="8" s="1"/>
  <c r="C155" i="10"/>
  <c r="E154" i="9"/>
  <c r="O154" i="9"/>
  <c r="N198" i="8" l="1"/>
  <c r="D199" i="8"/>
  <c r="D155" i="10"/>
  <c r="C155" i="9"/>
  <c r="N199" i="8" l="1"/>
  <c r="E199" i="8"/>
  <c r="C200" i="8" s="1"/>
  <c r="E155" i="10"/>
  <c r="C156" i="10" s="1"/>
  <c r="O155" i="10"/>
  <c r="D155" i="9"/>
  <c r="D200" i="8" l="1"/>
  <c r="F200" i="8"/>
  <c r="D156" i="10"/>
  <c r="O155" i="9"/>
  <c r="E155" i="9"/>
  <c r="C156" i="9" s="1"/>
  <c r="E200" i="8" l="1"/>
  <c r="N200" i="8"/>
  <c r="E156" i="10"/>
  <c r="C157" i="10" s="1"/>
  <c r="O156" i="10"/>
  <c r="D156" i="9"/>
  <c r="C201" i="8" l="1"/>
  <c r="D201" i="8" s="1"/>
  <c r="K201" i="8" s="1"/>
  <c r="P201" i="8" s="1"/>
  <c r="D157" i="10"/>
  <c r="E156" i="9"/>
  <c r="C157" i="9" s="1"/>
  <c r="O156" i="9"/>
  <c r="F201" i="8" l="1"/>
  <c r="E201" i="8" s="1"/>
  <c r="C202" i="8" s="1"/>
  <c r="D202" i="8" s="1"/>
  <c r="N202" i="8" s="1"/>
  <c r="N201" i="8"/>
  <c r="O201" i="8" s="1"/>
  <c r="S201" i="8"/>
  <c r="E157" i="10"/>
  <c r="C158" i="10" s="1"/>
  <c r="C159" i="10" s="1"/>
  <c r="O157" i="10"/>
  <c r="D157" i="9"/>
  <c r="J201" i="8" l="1"/>
  <c r="Q201" i="8" s="1"/>
  <c r="F202" i="8"/>
  <c r="E202" i="8" s="1"/>
  <c r="D159" i="10"/>
  <c r="E157" i="9"/>
  <c r="C158" i="9" s="1"/>
  <c r="C159" i="9" s="1"/>
  <c r="O157" i="9"/>
  <c r="C203" i="8" l="1"/>
  <c r="F203" i="8" s="1"/>
  <c r="E159" i="10"/>
  <c r="C160" i="10" s="1"/>
  <c r="O159" i="10"/>
  <c r="D159" i="9"/>
  <c r="D203" i="8" l="1"/>
  <c r="E203" i="8" s="1"/>
  <c r="C204" i="8" s="1"/>
  <c r="D160" i="10"/>
  <c r="O159" i="9"/>
  <c r="E159" i="9"/>
  <c r="C160" i="9" s="1"/>
  <c r="N203" i="8" l="1"/>
  <c r="D204" i="8"/>
  <c r="F204" i="8"/>
  <c r="E160" i="10"/>
  <c r="C161" i="10" s="1"/>
  <c r="O160" i="10"/>
  <c r="D160" i="9"/>
  <c r="N204" i="8" l="1"/>
  <c r="E204" i="8"/>
  <c r="C205" i="8" s="1"/>
  <c r="F205" i="8" s="1"/>
  <c r="D161" i="10"/>
  <c r="O160" i="9"/>
  <c r="E160" i="9"/>
  <c r="C161" i="9" s="1"/>
  <c r="D205" i="8" l="1"/>
  <c r="E161" i="10"/>
  <c r="C162" i="10" s="1"/>
  <c r="O161" i="10"/>
  <c r="D161" i="9"/>
  <c r="E205" i="8" l="1"/>
  <c r="N205" i="8"/>
  <c r="D162" i="10"/>
  <c r="O161" i="9"/>
  <c r="E161" i="9"/>
  <c r="C162" i="9" s="1"/>
  <c r="C206" i="8" l="1"/>
  <c r="F206" i="8" s="1"/>
  <c r="E162" i="10"/>
  <c r="O162" i="10"/>
  <c r="P162" i="10" s="1"/>
  <c r="L162" i="10"/>
  <c r="D162" i="9"/>
  <c r="D206" i="8" l="1"/>
  <c r="Q162" i="10"/>
  <c r="K162" i="10"/>
  <c r="C163" i="10"/>
  <c r="O162" i="9"/>
  <c r="P162" i="9" s="1"/>
  <c r="E162" i="9"/>
  <c r="L162" i="9"/>
  <c r="Q162" i="9" s="1"/>
  <c r="E206" i="8" l="1"/>
  <c r="N206" i="8"/>
  <c r="D163" i="10"/>
  <c r="R162" i="10"/>
  <c r="K162" i="9"/>
  <c r="R162" i="9" s="1"/>
  <c r="C163" i="9"/>
  <c r="C207" i="8" l="1"/>
  <c r="F207" i="8" s="1"/>
  <c r="E163" i="10"/>
  <c r="O163" i="10"/>
  <c r="D163" i="9"/>
  <c r="D207" i="8" l="1"/>
  <c r="C164" i="10"/>
  <c r="O163" i="9"/>
  <c r="E163" i="9"/>
  <c r="N207" i="8" l="1"/>
  <c r="E207" i="8"/>
  <c r="C208" i="8" s="1"/>
  <c r="F208" i="8" s="1"/>
  <c r="D164" i="10"/>
  <c r="C164" i="9"/>
  <c r="D208" i="8" l="1"/>
  <c r="E164" i="10"/>
  <c r="O164" i="10"/>
  <c r="D164" i="9"/>
  <c r="E208" i="8" l="1"/>
  <c r="C209" i="8" s="1"/>
  <c r="F209" i="8" s="1"/>
  <c r="N208" i="8"/>
  <c r="C165" i="10"/>
  <c r="O164" i="9"/>
  <c r="E164" i="9"/>
  <c r="D209" i="8" l="1"/>
  <c r="D165" i="10"/>
  <c r="C165" i="9"/>
  <c r="E209" i="8" l="1"/>
  <c r="C210" i="8" s="1"/>
  <c r="F210" i="8" s="1"/>
  <c r="N209" i="8"/>
  <c r="E165" i="10"/>
  <c r="O165" i="10"/>
  <c r="D165" i="9"/>
  <c r="D210" i="8" l="1"/>
  <c r="C166" i="10"/>
  <c r="E165" i="9"/>
  <c r="O165" i="9"/>
  <c r="E210" i="8" l="1"/>
  <c r="C211" i="8" s="1"/>
  <c r="F211" i="8" s="1"/>
  <c r="N210" i="8"/>
  <c r="D166" i="10"/>
  <c r="C166" i="9"/>
  <c r="D211" i="8" l="1"/>
  <c r="E166" i="10"/>
  <c r="O166" i="10"/>
  <c r="D166" i="9"/>
  <c r="N211" i="8" l="1"/>
  <c r="E211" i="8"/>
  <c r="C212" i="8" s="1"/>
  <c r="C167" i="10"/>
  <c r="E166" i="9"/>
  <c r="O166" i="9"/>
  <c r="D212" i="8" l="1"/>
  <c r="D214" i="8" s="1"/>
  <c r="C225" i="8" s="1"/>
  <c r="C228" i="8" s="1"/>
  <c r="F212" i="8"/>
  <c r="F214" i="8" s="1"/>
  <c r="D167" i="10"/>
  <c r="C167" i="9"/>
  <c r="N212" i="8" l="1"/>
  <c r="O212" i="8" s="1"/>
  <c r="O214" i="8" s="1"/>
  <c r="O217" i="8" s="1"/>
  <c r="K212" i="8"/>
  <c r="P212" i="8" s="1"/>
  <c r="E212" i="8"/>
  <c r="C218" i="8"/>
  <c r="C221" i="8" s="1"/>
  <c r="C224" i="8"/>
  <c r="E167" i="10"/>
  <c r="O167" i="10"/>
  <c r="D167" i="9"/>
  <c r="K214" i="8" l="1"/>
  <c r="E214" i="8"/>
  <c r="J212" i="8"/>
  <c r="J214" i="8" s="1"/>
  <c r="S212" i="8"/>
  <c r="P214" i="8"/>
  <c r="S214" i="8" s="1"/>
  <c r="T215" i="8" s="1"/>
  <c r="T216" i="8" s="1"/>
  <c r="C168" i="10"/>
  <c r="O167" i="9"/>
  <c r="E167" i="9"/>
  <c r="Q214" i="8" l="1"/>
  <c r="D168" i="10"/>
  <c r="C168" i="9"/>
  <c r="E168" i="10" l="1"/>
  <c r="C169" i="10" s="1"/>
  <c r="O168" i="10"/>
  <c r="D168" i="9"/>
  <c r="D169" i="10" l="1"/>
  <c r="O168" i="9"/>
  <c r="E168" i="9"/>
  <c r="C169" i="9" s="1"/>
  <c r="E169" i="10" l="1"/>
  <c r="C170" i="10" s="1"/>
  <c r="O169" i="10"/>
  <c r="D169" i="9"/>
  <c r="D170" i="10" l="1"/>
  <c r="E169" i="9"/>
  <c r="C170" i="9" s="1"/>
  <c r="O169" i="9"/>
  <c r="E170" i="10" l="1"/>
  <c r="C171" i="10" s="1"/>
  <c r="C172" i="10" s="1"/>
  <c r="O170" i="10"/>
  <c r="D170" i="9"/>
  <c r="D172" i="10" l="1"/>
  <c r="E170" i="9"/>
  <c r="C171" i="9" s="1"/>
  <c r="C172" i="9" s="1"/>
  <c r="O170" i="9"/>
  <c r="E172" i="10" l="1"/>
  <c r="C173" i="10" s="1"/>
  <c r="O172" i="10"/>
  <c r="D172" i="9"/>
  <c r="D173" i="10" l="1"/>
  <c r="O172" i="9"/>
  <c r="E172" i="9"/>
  <c r="C173" i="9" s="1"/>
  <c r="E173" i="10" l="1"/>
  <c r="C174" i="10" s="1"/>
  <c r="O173" i="10"/>
  <c r="D173" i="9"/>
  <c r="D174" i="10" l="1"/>
  <c r="O173" i="9"/>
  <c r="E173" i="9"/>
  <c r="C174" i="9" s="1"/>
  <c r="E174" i="10" l="1"/>
  <c r="C175" i="10" s="1"/>
  <c r="O174" i="10"/>
  <c r="D174" i="9"/>
  <c r="D175" i="10" l="1"/>
  <c r="O174" i="9"/>
  <c r="E174" i="9"/>
  <c r="C175" i="9" s="1"/>
  <c r="E175" i="10" l="1"/>
  <c r="O175" i="10"/>
  <c r="P175" i="10" s="1"/>
  <c r="L175" i="10"/>
  <c r="D175" i="9"/>
  <c r="K175" i="10" l="1"/>
  <c r="C176" i="10"/>
  <c r="Q175" i="10"/>
  <c r="E175" i="9"/>
  <c r="O175" i="9"/>
  <c r="P175" i="9" s="1"/>
  <c r="L175" i="9"/>
  <c r="Q175" i="9" s="1"/>
  <c r="R175" i="10" l="1"/>
  <c r="D176" i="10"/>
  <c r="K175" i="9"/>
  <c r="R175" i="9" s="1"/>
  <c r="C176" i="9"/>
  <c r="E176" i="10" l="1"/>
  <c r="O176" i="10"/>
  <c r="D176" i="9"/>
  <c r="C177" i="10" l="1"/>
  <c r="O176" i="9"/>
  <c r="E176" i="9"/>
  <c r="D177" i="10" l="1"/>
  <c r="C177" i="9"/>
  <c r="E177" i="10" l="1"/>
  <c r="O177" i="10"/>
  <c r="D177" i="9"/>
  <c r="C178" i="10" l="1"/>
  <c r="O177" i="9"/>
  <c r="E177" i="9"/>
  <c r="D178" i="10" l="1"/>
  <c r="C178" i="9"/>
  <c r="E178" i="10" l="1"/>
  <c r="O178" i="10"/>
  <c r="D178" i="9"/>
  <c r="C179" i="10" l="1"/>
  <c r="E178" i="9"/>
  <c r="O178" i="9"/>
  <c r="D179" i="10" l="1"/>
  <c r="C179" i="9"/>
  <c r="E179" i="10" l="1"/>
  <c r="O179" i="10"/>
  <c r="D179" i="9"/>
  <c r="C180" i="10" l="1"/>
  <c r="O179" i="9"/>
  <c r="E179" i="9"/>
  <c r="D180" i="10" l="1"/>
  <c r="C180" i="9"/>
  <c r="E180" i="10" l="1"/>
  <c r="O180" i="10"/>
  <c r="D180" i="9"/>
  <c r="C181" i="10" l="1"/>
  <c r="O180" i="9"/>
  <c r="E180" i="9"/>
  <c r="D181" i="10" l="1"/>
  <c r="C181" i="9"/>
  <c r="E181" i="10" l="1"/>
  <c r="C182" i="10" s="1"/>
  <c r="O181" i="10"/>
  <c r="D181" i="9"/>
  <c r="D182" i="10" l="1"/>
  <c r="O181" i="9"/>
  <c r="E181" i="9"/>
  <c r="C182" i="9" s="1"/>
  <c r="E182" i="10" l="1"/>
  <c r="C183" i="10" s="1"/>
  <c r="O182" i="10"/>
  <c r="D182" i="9"/>
  <c r="D183" i="10" l="1"/>
  <c r="E182" i="9"/>
  <c r="C183" i="9" s="1"/>
  <c r="O182" i="9"/>
  <c r="E183" i="10" l="1"/>
  <c r="C184" i="10" s="1"/>
  <c r="C185" i="10" s="1"/>
  <c r="O183" i="10"/>
  <c r="D183" i="9"/>
  <c r="D185" i="10" l="1"/>
  <c r="O183" i="9"/>
  <c r="E183" i="9"/>
  <c r="C184" i="9" s="1"/>
  <c r="C185" i="9" s="1"/>
  <c r="E185" i="10" l="1"/>
  <c r="C186" i="10" s="1"/>
  <c r="O185" i="10"/>
  <c r="D185" i="9"/>
  <c r="D186" i="10" l="1"/>
  <c r="E185" i="9"/>
  <c r="C186" i="9" s="1"/>
  <c r="O185" i="9"/>
  <c r="E186" i="10" l="1"/>
  <c r="C187" i="10" s="1"/>
  <c r="O186" i="10"/>
  <c r="D186" i="9"/>
  <c r="D187" i="10" l="1"/>
  <c r="E186" i="9"/>
  <c r="C187" i="9" s="1"/>
  <c r="O186" i="9"/>
  <c r="E187" i="10" l="1"/>
  <c r="C188" i="10" s="1"/>
  <c r="O187" i="10"/>
  <c r="D187" i="9"/>
  <c r="D188" i="10" l="1"/>
  <c r="O187" i="9"/>
  <c r="E187" i="9"/>
  <c r="C188" i="9" s="1"/>
  <c r="E188" i="10" l="1"/>
  <c r="O188" i="10"/>
  <c r="P188" i="10" s="1"/>
  <c r="L188" i="10"/>
  <c r="D188" i="9"/>
  <c r="Q188" i="10" l="1"/>
  <c r="K188" i="10"/>
  <c r="C189" i="10"/>
  <c r="E188" i="9"/>
  <c r="O188" i="9"/>
  <c r="P188" i="9" s="1"/>
  <c r="L188" i="9"/>
  <c r="Q188" i="9" s="1"/>
  <c r="D189" i="10" l="1"/>
  <c r="R188" i="10"/>
  <c r="K188" i="9"/>
  <c r="R188" i="9" s="1"/>
  <c r="C189" i="9"/>
  <c r="E189" i="10" l="1"/>
  <c r="O189" i="10"/>
  <c r="D189" i="9"/>
  <c r="C190" i="10" l="1"/>
  <c r="O189" i="9"/>
  <c r="E189" i="9"/>
  <c r="D190" i="10" l="1"/>
  <c r="C190" i="9"/>
  <c r="E190" i="10" l="1"/>
  <c r="O190" i="10"/>
  <c r="D190" i="9"/>
  <c r="C191" i="10" l="1"/>
  <c r="O190" i="9"/>
  <c r="E190" i="9"/>
  <c r="D191" i="10" l="1"/>
  <c r="C191" i="9"/>
  <c r="E191" i="10" l="1"/>
  <c r="O191" i="10"/>
  <c r="D191" i="9"/>
  <c r="C192" i="10" l="1"/>
  <c r="O191" i="9"/>
  <c r="E191" i="9"/>
  <c r="D192" i="10" l="1"/>
  <c r="C192" i="9"/>
  <c r="E192" i="10" l="1"/>
  <c r="O192" i="10"/>
  <c r="D192" i="9"/>
  <c r="C193" i="10" l="1"/>
  <c r="O192" i="9"/>
  <c r="E192" i="9"/>
  <c r="D193" i="10" l="1"/>
  <c r="C193" i="9"/>
  <c r="E193" i="10" l="1"/>
  <c r="O193" i="10"/>
  <c r="D193" i="9"/>
  <c r="C194" i="10" l="1"/>
  <c r="O193" i="9"/>
  <c r="E193" i="9"/>
  <c r="D194" i="10" l="1"/>
  <c r="C194" i="9"/>
  <c r="E194" i="10" l="1"/>
  <c r="C195" i="10" s="1"/>
  <c r="O194" i="10"/>
  <c r="D194" i="9"/>
  <c r="D195" i="10" l="1"/>
  <c r="O194" i="9"/>
  <c r="E194" i="9"/>
  <c r="C195" i="9" s="1"/>
  <c r="E195" i="10" l="1"/>
  <c r="C196" i="10" s="1"/>
  <c r="O195" i="10"/>
  <c r="D195" i="9"/>
  <c r="D196" i="10" l="1"/>
  <c r="O195" i="9"/>
  <c r="E195" i="9"/>
  <c r="C196" i="9" s="1"/>
  <c r="E196" i="10" l="1"/>
  <c r="C197" i="10" s="1"/>
  <c r="C198" i="10" s="1"/>
  <c r="O196" i="10"/>
  <c r="D196" i="9"/>
  <c r="D198" i="10" l="1"/>
  <c r="O196" i="9"/>
  <c r="E196" i="9"/>
  <c r="C197" i="9" s="1"/>
  <c r="C198" i="9" s="1"/>
  <c r="E198" i="10" l="1"/>
  <c r="C199" i="10" s="1"/>
  <c r="O198" i="10"/>
  <c r="D198" i="9"/>
  <c r="D199" i="10" l="1"/>
  <c r="O198" i="9"/>
  <c r="E198" i="9"/>
  <c r="C199" i="9" s="1"/>
  <c r="E199" i="10" l="1"/>
  <c r="C200" i="10" s="1"/>
  <c r="O199" i="10"/>
  <c r="D199" i="9"/>
  <c r="D200" i="10" l="1"/>
  <c r="O199" i="9"/>
  <c r="E199" i="9"/>
  <c r="C200" i="9" s="1"/>
  <c r="E200" i="10" l="1"/>
  <c r="C201" i="10" s="1"/>
  <c r="O200" i="10"/>
  <c r="D200" i="9"/>
  <c r="D201" i="10" l="1"/>
  <c r="O200" i="9"/>
  <c r="E200" i="9"/>
  <c r="C201" i="9" s="1"/>
  <c r="E201" i="10" l="1"/>
  <c r="O201" i="10"/>
  <c r="P201" i="10" s="1"/>
  <c r="L201" i="10"/>
  <c r="Q201" i="10" s="1"/>
  <c r="D201" i="9"/>
  <c r="K201" i="10" l="1"/>
  <c r="R201" i="10" s="1"/>
  <c r="C202" i="10"/>
  <c r="E201" i="9"/>
  <c r="O201" i="9"/>
  <c r="L201" i="9"/>
  <c r="Q201" i="9" s="1"/>
  <c r="D202" i="10" l="1"/>
  <c r="P201" i="9"/>
  <c r="K201" i="9"/>
  <c r="R201" i="9" s="1"/>
  <c r="C202" i="9"/>
  <c r="E202" i="10" l="1"/>
  <c r="O202" i="10"/>
  <c r="D202" i="9"/>
  <c r="C203" i="10" l="1"/>
  <c r="E202" i="9"/>
  <c r="O202" i="9"/>
  <c r="D203" i="10" l="1"/>
  <c r="C203" i="9"/>
  <c r="E203" i="10" l="1"/>
  <c r="O203" i="10"/>
  <c r="D203" i="9"/>
  <c r="C204" i="10" l="1"/>
  <c r="E203" i="9"/>
  <c r="O203" i="9"/>
  <c r="D204" i="10" l="1"/>
  <c r="C204" i="9"/>
  <c r="E204" i="10" l="1"/>
  <c r="O204" i="10"/>
  <c r="D204" i="9"/>
  <c r="C205" i="10" l="1"/>
  <c r="O204" i="9"/>
  <c r="E204" i="9"/>
  <c r="D205" i="10" l="1"/>
  <c r="C205" i="9"/>
  <c r="E205" i="10" l="1"/>
  <c r="O205" i="10"/>
  <c r="D205" i="9"/>
  <c r="C206" i="10" l="1"/>
  <c r="E205" i="9"/>
  <c r="O205" i="9"/>
  <c r="D206" i="10" l="1"/>
  <c r="C206" i="9"/>
  <c r="E206" i="10" l="1"/>
  <c r="O206" i="10"/>
  <c r="D206" i="9"/>
  <c r="C207" i="10" l="1"/>
  <c r="E206" i="9"/>
  <c r="O206" i="9"/>
  <c r="D207" i="10" l="1"/>
  <c r="C207" i="9"/>
  <c r="E207" i="10" l="1"/>
  <c r="C208" i="10" s="1"/>
  <c r="O207" i="10"/>
  <c r="D207" i="9"/>
  <c r="D208" i="10" l="1"/>
  <c r="E207" i="9"/>
  <c r="C208" i="9" s="1"/>
  <c r="O207" i="9"/>
  <c r="E208" i="10" l="1"/>
  <c r="C209" i="10" s="1"/>
  <c r="O208" i="10"/>
  <c r="D208" i="9"/>
  <c r="D209" i="10" l="1"/>
  <c r="O208" i="9"/>
  <c r="E208" i="9"/>
  <c r="C209" i="9" s="1"/>
  <c r="E209" i="10" l="1"/>
  <c r="C210" i="10" s="1"/>
  <c r="O209" i="10"/>
  <c r="D209" i="9"/>
  <c r="D210" i="10" l="1"/>
  <c r="E209" i="9"/>
  <c r="C210" i="9" s="1"/>
  <c r="O209" i="9"/>
  <c r="E210" i="10" l="1"/>
  <c r="C211" i="10" s="1"/>
  <c r="O210" i="10"/>
  <c r="D210" i="9"/>
  <c r="D211" i="10" l="1"/>
  <c r="E210" i="9"/>
  <c r="C211" i="9" s="1"/>
  <c r="O210" i="9"/>
  <c r="E211" i="10" l="1"/>
  <c r="C212" i="10" s="1"/>
  <c r="O211" i="10"/>
  <c r="D211" i="9"/>
  <c r="E211" i="9" s="1"/>
  <c r="C212" i="9"/>
  <c r="D212" i="9" s="1"/>
  <c r="E212" i="9" s="1"/>
  <c r="C213" i="9" s="1"/>
  <c r="O211" i="9"/>
  <c r="D212" i="10" l="1"/>
  <c r="D213" i="9"/>
  <c r="E213" i="9" s="1"/>
  <c r="C214" i="9"/>
  <c r="D214" i="9" s="1"/>
  <c r="E214" i="9" s="1"/>
  <c r="C215" i="9" s="1"/>
  <c r="O213" i="9"/>
  <c r="L213" i="9"/>
  <c r="E212" i="10" l="1"/>
  <c r="C213" i="10" s="1"/>
  <c r="O212" i="10"/>
  <c r="D215" i="9"/>
  <c r="E215" i="9" s="1"/>
  <c r="C216" i="9"/>
  <c r="O212" i="9"/>
  <c r="K213" i="9"/>
  <c r="K384" i="9" s="1"/>
  <c r="E384" i="9"/>
  <c r="Q213" i="9"/>
  <c r="D213" i="10" l="1"/>
  <c r="D216" i="9"/>
  <c r="E216" i="9" s="1"/>
  <c r="C217" i="9" s="1"/>
  <c r="R213" i="9"/>
  <c r="R384" i="9" s="1"/>
  <c r="E213" i="10" l="1"/>
  <c r="O213" i="10"/>
  <c r="P213" i="10" s="1"/>
  <c r="L213" i="10"/>
  <c r="Q213" i="10" s="1"/>
  <c r="D217" i="9"/>
  <c r="E217" i="9" s="1"/>
  <c r="C218" i="9"/>
  <c r="D218" i="9" s="1"/>
  <c r="E218" i="9" s="1"/>
  <c r="C219" i="9" s="1"/>
  <c r="D219" i="9" s="1"/>
  <c r="E219" i="9" s="1"/>
  <c r="C220" i="9" s="1"/>
  <c r="O215" i="9"/>
  <c r="O214" i="9"/>
  <c r="E384" i="10" l="1"/>
  <c r="K213" i="10"/>
  <c r="K384" i="10" s="1"/>
  <c r="C214" i="10"/>
  <c r="D220" i="9"/>
  <c r="E220" i="9" s="1"/>
  <c r="C221" i="9" s="1"/>
  <c r="D221" i="9" s="1"/>
  <c r="E221" i="9" s="1"/>
  <c r="C222" i="9" s="1"/>
  <c r="D222" i="9" s="1"/>
  <c r="E222" i="9" s="1"/>
  <c r="C223" i="9" s="1"/>
  <c r="D223" i="9" s="1"/>
  <c r="E223" i="9" s="1"/>
  <c r="C224" i="9" s="1"/>
  <c r="D224" i="9" s="1"/>
  <c r="E224" i="9" s="1"/>
  <c r="C225" i="9" s="1"/>
  <c r="D225" i="9" s="1"/>
  <c r="E225" i="9" s="1"/>
  <c r="C226" i="9" s="1"/>
  <c r="O217" i="9"/>
  <c r="O216" i="9"/>
  <c r="D214" i="10" l="1"/>
  <c r="R213" i="10"/>
  <c r="R384" i="10" s="1"/>
  <c r="D226" i="9"/>
  <c r="E226" i="9" s="1"/>
  <c r="C227" i="9"/>
  <c r="D227" i="9" s="1"/>
  <c r="E227" i="9" s="1"/>
  <c r="C228" i="9" s="1"/>
  <c r="O219" i="9"/>
  <c r="K225" i="9"/>
  <c r="O218" i="9"/>
  <c r="E214" i="10" l="1"/>
  <c r="O214" i="10"/>
  <c r="D228" i="9"/>
  <c r="E228" i="9" s="1"/>
  <c r="C229" i="9"/>
  <c r="D229" i="9" s="1"/>
  <c r="E229" i="9" s="1"/>
  <c r="C230" i="9" s="1"/>
  <c r="O221" i="9"/>
  <c r="O220" i="9"/>
  <c r="C215" i="10" l="1"/>
  <c r="D230" i="9"/>
  <c r="E230" i="9" s="1"/>
  <c r="C231" i="9"/>
  <c r="O223" i="9"/>
  <c r="O224" i="9"/>
  <c r="O222" i="9"/>
  <c r="D215" i="10" l="1"/>
  <c r="D231" i="9"/>
  <c r="E231" i="9" s="1"/>
  <c r="C232" i="9" s="1"/>
  <c r="D232" i="9" s="1"/>
  <c r="E232" i="9" s="1"/>
  <c r="C233" i="9" s="1"/>
  <c r="O225" i="9"/>
  <c r="L225" i="9"/>
  <c r="Q225" i="9" s="1"/>
  <c r="E215" i="10" l="1"/>
  <c r="O215" i="10"/>
  <c r="D233" i="9"/>
  <c r="E233" i="9" s="1"/>
  <c r="C234" i="9"/>
  <c r="O226" i="9"/>
  <c r="O227" i="9"/>
  <c r="C216" i="10" l="1"/>
  <c r="D234" i="9"/>
  <c r="E234" i="9" s="1"/>
  <c r="C235" i="9" s="1"/>
  <c r="D235" i="9" s="1"/>
  <c r="E235" i="9" s="1"/>
  <c r="C236" i="9" s="1"/>
  <c r="D236" i="9" s="1"/>
  <c r="E236" i="9" s="1"/>
  <c r="C237" i="9" s="1"/>
  <c r="O228" i="9"/>
  <c r="O229" i="9"/>
  <c r="D216" i="10" l="1"/>
  <c r="D237" i="9"/>
  <c r="E237" i="9" s="1"/>
  <c r="K237" i="9" s="1"/>
  <c r="C238" i="9"/>
  <c r="O230" i="9"/>
  <c r="E216" i="10" l="1"/>
  <c r="O216" i="10"/>
  <c r="D238" i="9"/>
  <c r="E238" i="9" s="1"/>
  <c r="C239" i="9"/>
  <c r="D239" i="9" s="1"/>
  <c r="E239" i="9" s="1"/>
  <c r="C240" i="9" s="1"/>
  <c r="D240" i="9" s="1"/>
  <c r="E240" i="9" s="1"/>
  <c r="C241" i="9" s="1"/>
  <c r="D241" i="9" s="1"/>
  <c r="E241" i="9" s="1"/>
  <c r="C242" i="9" s="1"/>
  <c r="D242" i="9" s="1"/>
  <c r="E242" i="9" s="1"/>
  <c r="C243" i="9" s="1"/>
  <c r="D243" i="9" s="1"/>
  <c r="E243" i="9" s="1"/>
  <c r="C244" i="9" s="1"/>
  <c r="O232" i="9"/>
  <c r="O231" i="9"/>
  <c r="C217" i="10" l="1"/>
  <c r="D244" i="9"/>
  <c r="E244" i="9" s="1"/>
  <c r="C245" i="9" s="1"/>
  <c r="O233" i="9"/>
  <c r="O234" i="9"/>
  <c r="D217" i="10" l="1"/>
  <c r="D245" i="9"/>
  <c r="E245" i="9" s="1"/>
  <c r="C246" i="9"/>
  <c r="O236" i="9"/>
  <c r="O235" i="9"/>
  <c r="E217" i="10" l="1"/>
  <c r="O217" i="10"/>
  <c r="D246" i="9"/>
  <c r="E246" i="9" s="1"/>
  <c r="C247" i="9"/>
  <c r="D247" i="9" s="1"/>
  <c r="E247" i="9" s="1"/>
  <c r="C248" i="9" s="1"/>
  <c r="O237" i="9"/>
  <c r="L237" i="9"/>
  <c r="Q237" i="9" s="1"/>
  <c r="C218" i="10" l="1"/>
  <c r="D248" i="9"/>
  <c r="E248" i="9" s="1"/>
  <c r="O238" i="9"/>
  <c r="O239" i="9"/>
  <c r="D218" i="10" l="1"/>
  <c r="C249" i="9"/>
  <c r="O240" i="9"/>
  <c r="E218" i="10" l="1"/>
  <c r="O218" i="10"/>
  <c r="D249" i="9"/>
  <c r="E249" i="9" s="1"/>
  <c r="K249" i="9" s="1"/>
  <c r="C250" i="9"/>
  <c r="O241" i="9"/>
  <c r="O242" i="9"/>
  <c r="C219" i="10" l="1"/>
  <c r="D250" i="9"/>
  <c r="E250" i="9" s="1"/>
  <c r="C251" i="9"/>
  <c r="O243" i="9"/>
  <c r="D219" i="10" l="1"/>
  <c r="D251" i="9"/>
  <c r="E251" i="9" s="1"/>
  <c r="C252" i="9"/>
  <c r="D252" i="9" s="1"/>
  <c r="E252" i="9" s="1"/>
  <c r="C253" i="9" s="1"/>
  <c r="O244" i="9"/>
  <c r="O245" i="9"/>
  <c r="E219" i="10" l="1"/>
  <c r="C220" i="10" s="1"/>
  <c r="O219" i="10"/>
  <c r="D253" i="9"/>
  <c r="E253" i="9" s="1"/>
  <c r="C254" i="9"/>
  <c r="D254" i="9" s="1"/>
  <c r="E254" i="9" s="1"/>
  <c r="C255" i="9" s="1"/>
  <c r="D255" i="9" s="1"/>
  <c r="E255" i="9" s="1"/>
  <c r="C256" i="9" s="1"/>
  <c r="O246" i="9"/>
  <c r="D220" i="10" l="1"/>
  <c r="D256" i="9"/>
  <c r="E256" i="9" s="1"/>
  <c r="C257" i="9"/>
  <c r="D257" i="9" s="1"/>
  <c r="E257" i="9" s="1"/>
  <c r="C258" i="9" s="1"/>
  <c r="D258" i="9" s="1"/>
  <c r="E258" i="9" s="1"/>
  <c r="C259" i="9" s="1"/>
  <c r="D259" i="9" s="1"/>
  <c r="E259" i="9" s="1"/>
  <c r="C260" i="9" s="1"/>
  <c r="D260" i="9" s="1"/>
  <c r="E260" i="9" s="1"/>
  <c r="C261" i="9" s="1"/>
  <c r="O248" i="9"/>
  <c r="O247" i="9"/>
  <c r="E220" i="10" l="1"/>
  <c r="C221" i="10" s="1"/>
  <c r="O220" i="10"/>
  <c r="D261" i="9"/>
  <c r="E261" i="9" s="1"/>
  <c r="K261" i="9" s="1"/>
  <c r="C262" i="9"/>
  <c r="O249" i="9"/>
  <c r="L249" i="9"/>
  <c r="Q249" i="9" s="1"/>
  <c r="D221" i="10" l="1"/>
  <c r="D262" i="9"/>
  <c r="E262" i="9" s="1"/>
  <c r="C263" i="9"/>
  <c r="O250" i="9"/>
  <c r="O251" i="9"/>
  <c r="E221" i="10" l="1"/>
  <c r="C222" i="10" s="1"/>
  <c r="O221" i="10"/>
  <c r="D263" i="9"/>
  <c r="E263" i="9" s="1"/>
  <c r="C264" i="9"/>
  <c r="O252" i="9"/>
  <c r="D222" i="10" l="1"/>
  <c r="D264" i="9"/>
  <c r="E264" i="9" s="1"/>
  <c r="C265" i="9"/>
  <c r="D265" i="9" s="1"/>
  <c r="E265" i="9" s="1"/>
  <c r="C266" i="9" s="1"/>
  <c r="D266" i="9" s="1"/>
  <c r="E266" i="9" s="1"/>
  <c r="C267" i="9" s="1"/>
  <c r="D267" i="9" s="1"/>
  <c r="E267" i="9" s="1"/>
  <c r="C268" i="9" s="1"/>
  <c r="D268" i="9" s="1"/>
  <c r="E268" i="9" s="1"/>
  <c r="C269" i="9" s="1"/>
  <c r="O254" i="9"/>
  <c r="O253" i="9"/>
  <c r="E222" i="10" l="1"/>
  <c r="C223" i="10" s="1"/>
  <c r="O222" i="10"/>
  <c r="D269" i="9"/>
  <c r="E269" i="9" s="1"/>
  <c r="C270" i="9"/>
  <c r="D270" i="9" s="1"/>
  <c r="E270" i="9" s="1"/>
  <c r="C271" i="9" s="1"/>
  <c r="D271" i="9" s="1"/>
  <c r="E271" i="9" s="1"/>
  <c r="C272" i="9" s="1"/>
  <c r="O255" i="9"/>
  <c r="O256" i="9"/>
  <c r="D223" i="10" l="1"/>
  <c r="D272" i="9"/>
  <c r="E272" i="9" s="1"/>
  <c r="C273" i="9"/>
  <c r="O257" i="9"/>
  <c r="E223" i="10" l="1"/>
  <c r="C224" i="10" s="1"/>
  <c r="O223" i="10"/>
  <c r="D273" i="9"/>
  <c r="E273" i="9" s="1"/>
  <c r="K273" i="9" s="1"/>
  <c r="C274" i="9"/>
  <c r="O258" i="9"/>
  <c r="D224" i="10" l="1"/>
  <c r="D274" i="9"/>
  <c r="E274" i="9" s="1"/>
  <c r="C275" i="9"/>
  <c r="O259" i="9"/>
  <c r="O260" i="9"/>
  <c r="E224" i="10" l="1"/>
  <c r="C225" i="10" s="1"/>
  <c r="O224" i="10"/>
  <c r="D275" i="9"/>
  <c r="E275" i="9" s="1"/>
  <c r="C276" i="9"/>
  <c r="O261" i="9"/>
  <c r="L261" i="9"/>
  <c r="Q261" i="9" s="1"/>
  <c r="D225" i="10" l="1"/>
  <c r="D276" i="9"/>
  <c r="E276" i="9" s="1"/>
  <c r="C277" i="9"/>
  <c r="O262" i="9"/>
  <c r="O263" i="9"/>
  <c r="E225" i="10" l="1"/>
  <c r="O225" i="10"/>
  <c r="P225" i="10" s="1"/>
  <c r="L225" i="10"/>
  <c r="Q225" i="10" s="1"/>
  <c r="D277" i="9"/>
  <c r="E277" i="9" s="1"/>
  <c r="C278" i="9"/>
  <c r="D278" i="9" s="1"/>
  <c r="E278" i="9" s="1"/>
  <c r="C279" i="9" s="1"/>
  <c r="D279" i="9" s="1"/>
  <c r="E279" i="9" s="1"/>
  <c r="C280" i="9" s="1"/>
  <c r="O264" i="9"/>
  <c r="K225" i="10" l="1"/>
  <c r="C226" i="10"/>
  <c r="D280" i="9"/>
  <c r="E280" i="9" s="1"/>
  <c r="C281" i="9"/>
  <c r="D281" i="9" s="1"/>
  <c r="E281" i="9" s="1"/>
  <c r="C282" i="9" s="1"/>
  <c r="D282" i="9" s="1"/>
  <c r="E282" i="9" s="1"/>
  <c r="C283" i="9" s="1"/>
  <c r="D283" i="9" s="1"/>
  <c r="E283" i="9" s="1"/>
  <c r="C284" i="9" s="1"/>
  <c r="O265" i="9"/>
  <c r="O266" i="9"/>
  <c r="D226" i="10" l="1"/>
  <c r="D284" i="9"/>
  <c r="E284" i="9" s="1"/>
  <c r="C285" i="9"/>
  <c r="O267" i="9"/>
  <c r="E226" i="10" l="1"/>
  <c r="O226" i="10"/>
  <c r="D285" i="9"/>
  <c r="E285" i="9" s="1"/>
  <c r="K285" i="9" s="1"/>
  <c r="C286" i="9"/>
  <c r="O268" i="9"/>
  <c r="O269" i="9"/>
  <c r="C227" i="10" l="1"/>
  <c r="D286" i="9"/>
  <c r="E286" i="9" s="1"/>
  <c r="C287" i="9"/>
  <c r="O270" i="9"/>
  <c r="D227" i="10" l="1"/>
  <c r="D287" i="9"/>
  <c r="E287" i="9" s="1"/>
  <c r="C288" i="9"/>
  <c r="O272" i="9"/>
  <c r="O271" i="9"/>
  <c r="E227" i="10" l="1"/>
  <c r="O227" i="10"/>
  <c r="D288" i="9"/>
  <c r="E288" i="9" s="1"/>
  <c r="C289" i="9"/>
  <c r="D289" i="9" s="1"/>
  <c r="E289" i="9" s="1"/>
  <c r="C290" i="9" s="1"/>
  <c r="D290" i="9" s="1"/>
  <c r="E290" i="9" s="1"/>
  <c r="C291" i="9" s="1"/>
  <c r="D291" i="9" s="1"/>
  <c r="E291" i="9" s="1"/>
  <c r="C292" i="9" s="1"/>
  <c r="O273" i="9"/>
  <c r="L273" i="9"/>
  <c r="Q273" i="9" s="1"/>
  <c r="C228" i="10" l="1"/>
  <c r="D292" i="9"/>
  <c r="E292" i="9" s="1"/>
  <c r="C293" i="9"/>
  <c r="O274" i="9"/>
  <c r="O275" i="9"/>
  <c r="D228" i="10" l="1"/>
  <c r="D293" i="9"/>
  <c r="E293" i="9" s="1"/>
  <c r="C294" i="9"/>
  <c r="D294" i="9" s="1"/>
  <c r="E294" i="9" s="1"/>
  <c r="C295" i="9" s="1"/>
  <c r="D295" i="9" s="1"/>
  <c r="E295" i="9" s="1"/>
  <c r="C296" i="9" s="1"/>
  <c r="O276" i="9"/>
  <c r="E228" i="10" l="1"/>
  <c r="O228" i="10"/>
  <c r="D296" i="9"/>
  <c r="E296" i="9" s="1"/>
  <c r="C297" i="9" s="1"/>
  <c r="O277" i="9"/>
  <c r="O278" i="9"/>
  <c r="C229" i="10" l="1"/>
  <c r="D297" i="9"/>
  <c r="E297" i="9" s="1"/>
  <c r="K297" i="9" s="1"/>
  <c r="C298" i="9"/>
  <c r="O279" i="9"/>
  <c r="D229" i="10" l="1"/>
  <c r="D298" i="9"/>
  <c r="E298" i="9" s="1"/>
  <c r="C299" i="9"/>
  <c r="O281" i="9"/>
  <c r="O280" i="9"/>
  <c r="E229" i="10" l="1"/>
  <c r="O229" i="10"/>
  <c r="D299" i="9"/>
  <c r="E299" i="9" s="1"/>
  <c r="C300" i="9"/>
  <c r="O282" i="9"/>
  <c r="C230" i="10" l="1"/>
  <c r="D300" i="9"/>
  <c r="E300" i="9" s="1"/>
  <c r="C301" i="9"/>
  <c r="O283" i="9"/>
  <c r="O284" i="9"/>
  <c r="D230" i="10" l="1"/>
  <c r="D301" i="9"/>
  <c r="E301" i="9" s="1"/>
  <c r="C302" i="9"/>
  <c r="O285" i="9"/>
  <c r="L285" i="9"/>
  <c r="Q285" i="9" s="1"/>
  <c r="E230" i="10" l="1"/>
  <c r="O230" i="10"/>
  <c r="D302" i="9"/>
  <c r="E302" i="9" s="1"/>
  <c r="C303" i="9"/>
  <c r="D303" i="9" s="1"/>
  <c r="E303" i="9" s="1"/>
  <c r="C304" i="9" s="1"/>
  <c r="O286" i="9"/>
  <c r="O287" i="9"/>
  <c r="C231" i="10" l="1"/>
  <c r="D304" i="9"/>
  <c r="E304" i="9" s="1"/>
  <c r="C305" i="9"/>
  <c r="D305" i="9" s="1"/>
  <c r="E305" i="9" s="1"/>
  <c r="C306" i="9" s="1"/>
  <c r="D306" i="9" s="1"/>
  <c r="E306" i="9" s="1"/>
  <c r="C307" i="9" s="1"/>
  <c r="D307" i="9" s="1"/>
  <c r="E307" i="9" s="1"/>
  <c r="C308" i="9" s="1"/>
  <c r="D308" i="9" s="1"/>
  <c r="E308" i="9" s="1"/>
  <c r="C309" i="9" s="1"/>
  <c r="O288" i="9"/>
  <c r="D231" i="10" l="1"/>
  <c r="D309" i="9"/>
  <c r="E309" i="9" s="1"/>
  <c r="K309" i="9" s="1"/>
  <c r="C310" i="9"/>
  <c r="O290" i="9"/>
  <c r="O289" i="9"/>
  <c r="E231" i="10" l="1"/>
  <c r="C232" i="10" s="1"/>
  <c r="O231" i="10"/>
  <c r="D310" i="9"/>
  <c r="E310" i="9" s="1"/>
  <c r="C311" i="9"/>
  <c r="D311" i="9" s="1"/>
  <c r="E311" i="9" s="1"/>
  <c r="C312" i="9" s="1"/>
  <c r="O292" i="9"/>
  <c r="O291" i="9"/>
  <c r="D232" i="10" l="1"/>
  <c r="D312" i="9"/>
  <c r="E312" i="9" s="1"/>
  <c r="C313" i="9"/>
  <c r="D313" i="9" s="1"/>
  <c r="E313" i="9" s="1"/>
  <c r="C314" i="9" s="1"/>
  <c r="O294" i="9"/>
  <c r="O293" i="9"/>
  <c r="E232" i="10" l="1"/>
  <c r="C233" i="10" s="1"/>
  <c r="O232" i="10"/>
  <c r="D314" i="9"/>
  <c r="E314" i="9" s="1"/>
  <c r="C315" i="9" s="1"/>
  <c r="D315" i="9" s="1"/>
  <c r="E315" i="9" s="1"/>
  <c r="C316" i="9" s="1"/>
  <c r="D316" i="9" s="1"/>
  <c r="E316" i="9" s="1"/>
  <c r="C317" i="9" s="1"/>
  <c r="O295" i="9"/>
  <c r="O296" i="9"/>
  <c r="D233" i="10" l="1"/>
  <c r="D317" i="9"/>
  <c r="E317" i="9" s="1"/>
  <c r="C318" i="9" s="1"/>
  <c r="O297" i="9"/>
  <c r="L297" i="9"/>
  <c r="Q297" i="9" s="1"/>
  <c r="E233" i="10" l="1"/>
  <c r="C234" i="10" s="1"/>
  <c r="O233" i="10"/>
  <c r="D318" i="9"/>
  <c r="E318" i="9" s="1"/>
  <c r="C319" i="9" s="1"/>
  <c r="D319" i="9" s="1"/>
  <c r="E319" i="9" s="1"/>
  <c r="C320" i="9" s="1"/>
  <c r="O298" i="9"/>
  <c r="O299" i="9"/>
  <c r="D234" i="10" l="1"/>
  <c r="D320" i="9"/>
  <c r="E320" i="9" s="1"/>
  <c r="C321" i="9"/>
  <c r="O300" i="9"/>
  <c r="E234" i="10" l="1"/>
  <c r="C235" i="10" s="1"/>
  <c r="O234" i="10"/>
  <c r="D321" i="9"/>
  <c r="E321" i="9" s="1"/>
  <c r="K321" i="9" s="1"/>
  <c r="C322" i="9"/>
  <c r="O301" i="9"/>
  <c r="O302" i="9"/>
  <c r="D235" i="10" l="1"/>
  <c r="D322" i="9"/>
  <c r="E322" i="9" s="1"/>
  <c r="C323" i="9"/>
  <c r="O303" i="9"/>
  <c r="E235" i="10" l="1"/>
  <c r="C236" i="10" s="1"/>
  <c r="O235" i="10"/>
  <c r="D323" i="9"/>
  <c r="E323" i="9" s="1"/>
  <c r="C324" i="9"/>
  <c r="O304" i="9"/>
  <c r="O305" i="9"/>
  <c r="D236" i="10" l="1"/>
  <c r="D324" i="9"/>
  <c r="E324" i="9" s="1"/>
  <c r="C325" i="9"/>
  <c r="O306" i="9"/>
  <c r="E236" i="10" l="1"/>
  <c r="C237" i="10" s="1"/>
  <c r="O236" i="10"/>
  <c r="D325" i="9"/>
  <c r="E325" i="9" s="1"/>
  <c r="C326" i="9"/>
  <c r="O307" i="9"/>
  <c r="O308" i="9"/>
  <c r="D237" i="10" l="1"/>
  <c r="D326" i="9"/>
  <c r="E326" i="9" s="1"/>
  <c r="C327" i="9"/>
  <c r="D327" i="9" s="1"/>
  <c r="E327" i="9" s="1"/>
  <c r="C328" i="9" s="1"/>
  <c r="O309" i="9"/>
  <c r="L309" i="9"/>
  <c r="Q309" i="9" s="1"/>
  <c r="E237" i="10" l="1"/>
  <c r="O237" i="10"/>
  <c r="P237" i="10" s="1"/>
  <c r="L237" i="10"/>
  <c r="Q237" i="10" s="1"/>
  <c r="D328" i="9"/>
  <c r="E328" i="9" s="1"/>
  <c r="C329" i="9"/>
  <c r="D329" i="9" s="1"/>
  <c r="E329" i="9" s="1"/>
  <c r="C330" i="9" s="1"/>
  <c r="D330" i="9" s="1"/>
  <c r="E330" i="9" s="1"/>
  <c r="C331" i="9" s="1"/>
  <c r="D331" i="9" s="1"/>
  <c r="E331" i="9" s="1"/>
  <c r="C332" i="9" s="1"/>
  <c r="D332" i="9" s="1"/>
  <c r="E332" i="9" s="1"/>
  <c r="C333" i="9" s="1"/>
  <c r="O311" i="9"/>
  <c r="O310" i="9"/>
  <c r="K237" i="10" l="1"/>
  <c r="C238" i="10"/>
  <c r="D333" i="9"/>
  <c r="E333" i="9" s="1"/>
  <c r="K333" i="9" s="1"/>
  <c r="C334" i="9"/>
  <c r="O312" i="9"/>
  <c r="O313" i="9"/>
  <c r="D238" i="10" l="1"/>
  <c r="D334" i="9"/>
  <c r="E334" i="9" s="1"/>
  <c r="C335" i="9"/>
  <c r="D335" i="9" s="1"/>
  <c r="E335" i="9" s="1"/>
  <c r="C336" i="9" s="1"/>
  <c r="O314" i="9"/>
  <c r="E238" i="10" l="1"/>
  <c r="O238" i="10"/>
  <c r="D336" i="9"/>
  <c r="E336" i="9" s="1"/>
  <c r="C337" i="9"/>
  <c r="D337" i="9" s="1"/>
  <c r="E337" i="9" s="1"/>
  <c r="C338" i="9" s="1"/>
  <c r="O315" i="9"/>
  <c r="O316" i="9"/>
  <c r="C239" i="10" l="1"/>
  <c r="D338" i="9"/>
  <c r="E338" i="9" s="1"/>
  <c r="C339" i="9"/>
  <c r="D339" i="9" s="1"/>
  <c r="E339" i="9" s="1"/>
  <c r="C340" i="9" s="1"/>
  <c r="D340" i="9" s="1"/>
  <c r="E340" i="9" s="1"/>
  <c r="C341" i="9" s="1"/>
  <c r="O317" i="9"/>
  <c r="D239" i="10" l="1"/>
  <c r="D341" i="9"/>
  <c r="E341" i="9" s="1"/>
  <c r="C342" i="9"/>
  <c r="D342" i="9" s="1"/>
  <c r="E342" i="9" s="1"/>
  <c r="C343" i="9" s="1"/>
  <c r="D343" i="9" s="1"/>
  <c r="E343" i="9" s="1"/>
  <c r="C344" i="9" s="1"/>
  <c r="O318" i="9"/>
  <c r="E239" i="10" l="1"/>
  <c r="O239" i="10"/>
  <c r="D344" i="9"/>
  <c r="E344" i="9" s="1"/>
  <c r="C345" i="9"/>
  <c r="O320" i="9"/>
  <c r="O319" i="9"/>
  <c r="C240" i="10" l="1"/>
  <c r="D345" i="9"/>
  <c r="E345" i="9" s="1"/>
  <c r="K345" i="9" s="1"/>
  <c r="C346" i="9"/>
  <c r="O321" i="9"/>
  <c r="L321" i="9"/>
  <c r="Q321" i="9" s="1"/>
  <c r="D240" i="10" l="1"/>
  <c r="D346" i="9"/>
  <c r="E346" i="9" s="1"/>
  <c r="C347" i="9"/>
  <c r="O323" i="9"/>
  <c r="O322" i="9"/>
  <c r="E240" i="10" l="1"/>
  <c r="O240" i="10"/>
  <c r="D347" i="9"/>
  <c r="E347" i="9" s="1"/>
  <c r="C348" i="9"/>
  <c r="D348" i="9" s="1"/>
  <c r="E348" i="9" s="1"/>
  <c r="C349" i="9" s="1"/>
  <c r="O325" i="9"/>
  <c r="O324" i="9"/>
  <c r="C241" i="10" l="1"/>
  <c r="D349" i="9"/>
  <c r="E349" i="9" s="1"/>
  <c r="C350" i="9"/>
  <c r="D350" i="9" s="1"/>
  <c r="E350" i="9" s="1"/>
  <c r="C351" i="9" s="1"/>
  <c r="D351" i="9" s="1"/>
  <c r="E351" i="9" s="1"/>
  <c r="C352" i="9" s="1"/>
  <c r="O326" i="9"/>
  <c r="O327" i="9"/>
  <c r="D241" i="10" l="1"/>
  <c r="D352" i="9"/>
  <c r="E352" i="9" s="1"/>
  <c r="C353" i="9"/>
  <c r="D353" i="9" s="1"/>
  <c r="E353" i="9" s="1"/>
  <c r="C354" i="9" s="1"/>
  <c r="D354" i="9" s="1"/>
  <c r="E354" i="9" s="1"/>
  <c r="C355" i="9" s="1"/>
  <c r="O328" i="9"/>
  <c r="E241" i="10" l="1"/>
  <c r="O241" i="10"/>
  <c r="D355" i="9"/>
  <c r="E355" i="9" s="1"/>
  <c r="C356" i="9" s="1"/>
  <c r="D356" i="9" s="1"/>
  <c r="E356" i="9" s="1"/>
  <c r="C357" i="9" s="1"/>
  <c r="O330" i="9"/>
  <c r="O329" i="9"/>
  <c r="C242" i="10" l="1"/>
  <c r="D357" i="9"/>
  <c r="O332" i="9"/>
  <c r="O331" i="9"/>
  <c r="D242" i="10" l="1"/>
  <c r="E357" i="9"/>
  <c r="K357" i="9" s="1"/>
  <c r="D384" i="9"/>
  <c r="E388" i="9" s="1"/>
  <c r="E391" i="9" s="1"/>
  <c r="F358" i="9"/>
  <c r="E358" i="9" s="1"/>
  <c r="K369" i="9" s="1"/>
  <c r="O333" i="9"/>
  <c r="L333" i="9"/>
  <c r="Q333" i="9" s="1"/>
  <c r="E242" i="10" l="1"/>
  <c r="O242" i="10"/>
  <c r="O335" i="9"/>
  <c r="O334" i="9"/>
  <c r="C243" i="10" l="1"/>
  <c r="O337" i="9"/>
  <c r="O336" i="9"/>
  <c r="D243" i="10" l="1"/>
  <c r="O338" i="9"/>
  <c r="O339" i="9"/>
  <c r="E243" i="10" l="1"/>
  <c r="C244" i="10" s="1"/>
  <c r="O243" i="10"/>
  <c r="O340" i="9"/>
  <c r="D244" i="10" l="1"/>
  <c r="O342" i="9"/>
  <c r="O341" i="9"/>
  <c r="E244" i="10" l="1"/>
  <c r="C245" i="10" s="1"/>
  <c r="O244" i="10"/>
  <c r="O344" i="9"/>
  <c r="O343" i="9"/>
  <c r="D245" i="10" l="1"/>
  <c r="O345" i="9"/>
  <c r="L345" i="9"/>
  <c r="Q345" i="9" s="1"/>
  <c r="E245" i="10" l="1"/>
  <c r="C246" i="10" s="1"/>
  <c r="O245" i="10"/>
  <c r="O347" i="9"/>
  <c r="O346" i="9"/>
  <c r="D246" i="10" l="1"/>
  <c r="O349" i="9"/>
  <c r="O348" i="9"/>
  <c r="E246" i="10" l="1"/>
  <c r="C247" i="10" s="1"/>
  <c r="O246" i="10"/>
  <c r="O350" i="9"/>
  <c r="O351" i="9"/>
  <c r="D247" i="10" l="1"/>
  <c r="O352" i="9"/>
  <c r="E247" i="10" l="1"/>
  <c r="C248" i="10" s="1"/>
  <c r="O247" i="10"/>
  <c r="O354" i="9"/>
  <c r="O353" i="9"/>
  <c r="D248" i="10" l="1"/>
  <c r="O355" i="9"/>
  <c r="O356" i="9"/>
  <c r="E248" i="10" l="1"/>
  <c r="C249" i="10" s="1"/>
  <c r="O248" i="10"/>
  <c r="O357" i="9"/>
  <c r="L357" i="9"/>
  <c r="Q357" i="9" s="1"/>
  <c r="D249" i="10" l="1"/>
  <c r="O358" i="9"/>
  <c r="O359" i="9"/>
  <c r="E249" i="10" l="1"/>
  <c r="O249" i="10"/>
  <c r="P249" i="10" s="1"/>
  <c r="L249" i="10"/>
  <c r="Q249" i="10" s="1"/>
  <c r="O360" i="9"/>
  <c r="K249" i="10" l="1"/>
  <c r="C250" i="10"/>
  <c r="O361" i="9"/>
  <c r="O362" i="9"/>
  <c r="D250" i="10" l="1"/>
  <c r="O363" i="9"/>
  <c r="E250" i="10" l="1"/>
  <c r="O250" i="10"/>
  <c r="O364" i="9"/>
  <c r="O365" i="9"/>
  <c r="C251" i="10" l="1"/>
  <c r="O366" i="9"/>
  <c r="D251" i="10" l="1"/>
  <c r="O368" i="9"/>
  <c r="O367" i="9"/>
  <c r="E251" i="10" l="1"/>
  <c r="O251" i="10"/>
  <c r="O369" i="9"/>
  <c r="L369" i="9"/>
  <c r="Q369" i="9" s="1"/>
  <c r="C252" i="10" l="1"/>
  <c r="O370" i="9"/>
  <c r="O371" i="9"/>
  <c r="D252" i="10" l="1"/>
  <c r="O372" i="9"/>
  <c r="E252" i="10" l="1"/>
  <c r="O252" i="10"/>
  <c r="O374" i="9"/>
  <c r="O373" i="9"/>
  <c r="C253" i="10" l="1"/>
  <c r="O376" i="9"/>
  <c r="O375" i="9"/>
  <c r="D253" i="10" l="1"/>
  <c r="O378" i="9"/>
  <c r="O377" i="9"/>
  <c r="E253" i="10" l="1"/>
  <c r="O253" i="10"/>
  <c r="O380" i="9"/>
  <c r="O379" i="9"/>
  <c r="C254" i="10" l="1"/>
  <c r="O381" i="9"/>
  <c r="P384" i="9" s="1"/>
  <c r="L381" i="9"/>
  <c r="D254" i="10" l="1"/>
  <c r="Q381" i="9"/>
  <c r="Q384" i="9" s="1"/>
  <c r="L384" i="9"/>
  <c r="E254" i="10" l="1"/>
  <c r="O254" i="10"/>
  <c r="C255" i="10" l="1"/>
  <c r="D255" i="10" l="1"/>
  <c r="E255" i="10" l="1"/>
  <c r="C256" i="10" s="1"/>
  <c r="O255" i="10"/>
  <c r="D256" i="10" l="1"/>
  <c r="E256" i="10" l="1"/>
  <c r="C257" i="10" s="1"/>
  <c r="O256" i="10"/>
  <c r="D257" i="10" l="1"/>
  <c r="E257" i="10" l="1"/>
  <c r="C258" i="10" s="1"/>
  <c r="O257" i="10"/>
  <c r="D258" i="10" l="1"/>
  <c r="E258" i="10" l="1"/>
  <c r="C259" i="10" s="1"/>
  <c r="O258" i="10"/>
  <c r="D259" i="10" l="1"/>
  <c r="E259" i="10" l="1"/>
  <c r="C260" i="10" s="1"/>
  <c r="O259" i="10"/>
  <c r="D260" i="10" l="1"/>
  <c r="E260" i="10" l="1"/>
  <c r="C261" i="10" s="1"/>
  <c r="O260" i="10"/>
  <c r="D261" i="10" l="1"/>
  <c r="E261" i="10" l="1"/>
  <c r="O261" i="10"/>
  <c r="P261" i="10" s="1"/>
  <c r="L261" i="10"/>
  <c r="Q261" i="10" s="1"/>
  <c r="K261" i="10" l="1"/>
  <c r="C262" i="10"/>
  <c r="D262" i="10" l="1"/>
  <c r="E262" i="10" l="1"/>
  <c r="O262" i="10"/>
  <c r="C263" i="10" l="1"/>
  <c r="D263" i="10" l="1"/>
  <c r="E263" i="10" l="1"/>
  <c r="O263" i="10"/>
  <c r="C264" i="10" l="1"/>
  <c r="D264" i="10" l="1"/>
  <c r="E264" i="10" l="1"/>
  <c r="O264" i="10"/>
  <c r="C265" i="10" l="1"/>
  <c r="D265" i="10" l="1"/>
  <c r="E265" i="10" l="1"/>
  <c r="O265" i="10"/>
  <c r="C266" i="10" l="1"/>
  <c r="D266" i="10" l="1"/>
  <c r="E266" i="10" l="1"/>
  <c r="O266" i="10"/>
  <c r="C267" i="10" l="1"/>
  <c r="D267" i="10" l="1"/>
  <c r="E267" i="10" l="1"/>
  <c r="C268" i="10" s="1"/>
  <c r="O267" i="10"/>
  <c r="D268" i="10" l="1"/>
  <c r="E268" i="10" l="1"/>
  <c r="C269" i="10" s="1"/>
  <c r="O268" i="10"/>
  <c r="D269" i="10" l="1"/>
  <c r="E269" i="10" l="1"/>
  <c r="C270" i="10" s="1"/>
  <c r="O269" i="10"/>
  <c r="D270" i="10" l="1"/>
  <c r="E270" i="10" l="1"/>
  <c r="C271" i="10" s="1"/>
  <c r="O270" i="10"/>
  <c r="D271" i="10" l="1"/>
  <c r="E271" i="10" l="1"/>
  <c r="C272" i="10" s="1"/>
  <c r="O271" i="10"/>
  <c r="D272" i="10" l="1"/>
  <c r="E272" i="10" l="1"/>
  <c r="C273" i="10" s="1"/>
  <c r="O272" i="10"/>
  <c r="D273" i="10" l="1"/>
  <c r="E273" i="10" l="1"/>
  <c r="O273" i="10"/>
  <c r="P273" i="10" s="1"/>
  <c r="L273" i="10"/>
  <c r="Q273" i="10" s="1"/>
  <c r="K273" i="10" l="1"/>
  <c r="C274" i="10"/>
  <c r="D274" i="10" l="1"/>
  <c r="E274" i="10" l="1"/>
  <c r="O274" i="10"/>
  <c r="C275" i="10" l="1"/>
  <c r="D275" i="10" l="1"/>
  <c r="E275" i="10" l="1"/>
  <c r="O275" i="10"/>
  <c r="C276" i="10" l="1"/>
  <c r="D276" i="10" l="1"/>
  <c r="E276" i="10" l="1"/>
  <c r="O276" i="10"/>
  <c r="C277" i="10" l="1"/>
  <c r="D277" i="10" l="1"/>
  <c r="E277" i="10" l="1"/>
  <c r="O277" i="10"/>
  <c r="C278" i="10" l="1"/>
  <c r="D278" i="10" l="1"/>
  <c r="E278" i="10" l="1"/>
  <c r="O278" i="10"/>
  <c r="C279" i="10" l="1"/>
  <c r="D279" i="10" l="1"/>
  <c r="E279" i="10" l="1"/>
  <c r="C280" i="10" s="1"/>
  <c r="O279" i="10"/>
  <c r="D280" i="10" l="1"/>
  <c r="E280" i="10" l="1"/>
  <c r="C281" i="10" s="1"/>
  <c r="O280" i="10"/>
  <c r="D281" i="10" l="1"/>
  <c r="E281" i="10" l="1"/>
  <c r="C282" i="10" s="1"/>
  <c r="O281" i="10"/>
  <c r="D282" i="10" l="1"/>
  <c r="E282" i="10" l="1"/>
  <c r="C283" i="10" s="1"/>
  <c r="O282" i="10"/>
  <c r="D283" i="10" l="1"/>
  <c r="E283" i="10" l="1"/>
  <c r="C284" i="10" s="1"/>
  <c r="O283" i="10"/>
  <c r="D284" i="10" l="1"/>
  <c r="E284" i="10" l="1"/>
  <c r="C285" i="10" s="1"/>
  <c r="O284" i="10"/>
  <c r="D285" i="10" l="1"/>
  <c r="E285" i="10" l="1"/>
  <c r="O285" i="10"/>
  <c r="P285" i="10" s="1"/>
  <c r="L285" i="10"/>
  <c r="Q285" i="10" s="1"/>
  <c r="K285" i="10" l="1"/>
  <c r="C286" i="10"/>
  <c r="D286" i="10" l="1"/>
  <c r="E286" i="10" l="1"/>
  <c r="O286" i="10"/>
  <c r="C287" i="10" l="1"/>
  <c r="D287" i="10" l="1"/>
  <c r="E287" i="10" l="1"/>
  <c r="O287" i="10"/>
  <c r="C288" i="10" l="1"/>
  <c r="D288" i="10" l="1"/>
  <c r="E288" i="10" l="1"/>
  <c r="O288" i="10"/>
  <c r="C289" i="10" l="1"/>
  <c r="D289" i="10" l="1"/>
  <c r="E289" i="10" l="1"/>
  <c r="O289" i="10"/>
  <c r="C290" i="10" l="1"/>
  <c r="D290" i="10" l="1"/>
  <c r="E290" i="10" l="1"/>
  <c r="O290" i="10"/>
  <c r="C291" i="10" l="1"/>
  <c r="D291" i="10" l="1"/>
  <c r="E291" i="10" l="1"/>
  <c r="C292" i="10" s="1"/>
  <c r="O291" i="10"/>
  <c r="D292" i="10" l="1"/>
  <c r="E292" i="10" l="1"/>
  <c r="C293" i="10" s="1"/>
  <c r="O292" i="10"/>
  <c r="D293" i="10" l="1"/>
  <c r="E293" i="10" l="1"/>
  <c r="C294" i="10" s="1"/>
  <c r="O293" i="10"/>
  <c r="D294" i="10" l="1"/>
  <c r="E294" i="10" l="1"/>
  <c r="C295" i="10" s="1"/>
  <c r="O294" i="10"/>
  <c r="D295" i="10" l="1"/>
  <c r="E295" i="10" l="1"/>
  <c r="C296" i="10" s="1"/>
  <c r="O295" i="10"/>
  <c r="D296" i="10" l="1"/>
  <c r="E296" i="10" l="1"/>
  <c r="C297" i="10" s="1"/>
  <c r="O296" i="10"/>
  <c r="D297" i="10" l="1"/>
  <c r="E297" i="10" l="1"/>
  <c r="O297" i="10"/>
  <c r="P297" i="10" s="1"/>
  <c r="L297" i="10"/>
  <c r="Q297" i="10" s="1"/>
  <c r="K297" i="10" l="1"/>
  <c r="C298" i="10"/>
  <c r="D298" i="10" l="1"/>
  <c r="E298" i="10" l="1"/>
  <c r="O298" i="10"/>
  <c r="C299" i="10" l="1"/>
  <c r="D299" i="10" l="1"/>
  <c r="E299" i="10" l="1"/>
  <c r="O299" i="10"/>
  <c r="C300" i="10" l="1"/>
  <c r="D300" i="10" l="1"/>
  <c r="E300" i="10" l="1"/>
  <c r="O300" i="10"/>
  <c r="C301" i="10" l="1"/>
  <c r="D301" i="10" l="1"/>
  <c r="E301" i="10" l="1"/>
  <c r="O301" i="10"/>
  <c r="C302" i="10" l="1"/>
  <c r="D302" i="10" l="1"/>
  <c r="E302" i="10" l="1"/>
  <c r="O302" i="10"/>
  <c r="C303" i="10" l="1"/>
  <c r="D303" i="10" l="1"/>
  <c r="E303" i="10" l="1"/>
  <c r="C304" i="10" s="1"/>
  <c r="O303" i="10"/>
  <c r="D304" i="10" l="1"/>
  <c r="E304" i="10" l="1"/>
  <c r="C305" i="10" s="1"/>
  <c r="O304" i="10"/>
  <c r="D305" i="10" l="1"/>
  <c r="E305" i="10" l="1"/>
  <c r="C306" i="10" s="1"/>
  <c r="O305" i="10"/>
  <c r="D306" i="10" l="1"/>
  <c r="E306" i="10" l="1"/>
  <c r="C307" i="10" s="1"/>
  <c r="O306" i="10"/>
  <c r="D307" i="10" l="1"/>
  <c r="E307" i="10" l="1"/>
  <c r="C308" i="10" s="1"/>
  <c r="O307" i="10"/>
  <c r="D308" i="10" l="1"/>
  <c r="E308" i="10" l="1"/>
  <c r="C309" i="10" s="1"/>
  <c r="O308" i="10"/>
  <c r="D309" i="10" l="1"/>
  <c r="E309" i="10" l="1"/>
  <c r="O309" i="10"/>
  <c r="P309" i="10" s="1"/>
  <c r="L309" i="10"/>
  <c r="Q309" i="10" s="1"/>
  <c r="K309" i="10" l="1"/>
  <c r="C310" i="10"/>
  <c r="D310" i="10" l="1"/>
  <c r="E310" i="10" l="1"/>
  <c r="O310" i="10"/>
  <c r="C311" i="10" l="1"/>
  <c r="D311" i="10" l="1"/>
  <c r="E311" i="10" l="1"/>
  <c r="O311" i="10"/>
  <c r="C312" i="10" l="1"/>
  <c r="D312" i="10" l="1"/>
  <c r="E312" i="10" l="1"/>
  <c r="O312" i="10"/>
  <c r="C313" i="10" l="1"/>
  <c r="D313" i="10" l="1"/>
  <c r="E313" i="10" l="1"/>
  <c r="O313" i="10"/>
  <c r="C314" i="10" l="1"/>
  <c r="D314" i="10" l="1"/>
  <c r="E314" i="10" l="1"/>
  <c r="O314" i="10"/>
  <c r="C315" i="10" l="1"/>
  <c r="D315" i="10" l="1"/>
  <c r="E315" i="10" l="1"/>
  <c r="C316" i="10" s="1"/>
  <c r="O315" i="10"/>
  <c r="D316" i="10" l="1"/>
  <c r="E316" i="10" l="1"/>
  <c r="C317" i="10" s="1"/>
  <c r="O316" i="10"/>
  <c r="D317" i="10" l="1"/>
  <c r="E317" i="10" l="1"/>
  <c r="C318" i="10" s="1"/>
  <c r="O317" i="10"/>
  <c r="D318" i="10" l="1"/>
  <c r="E318" i="10" l="1"/>
  <c r="C319" i="10" s="1"/>
  <c r="O318" i="10"/>
  <c r="D319" i="10" l="1"/>
  <c r="E319" i="10" l="1"/>
  <c r="C320" i="10" s="1"/>
  <c r="O319" i="10"/>
  <c r="D320" i="10" l="1"/>
  <c r="E320" i="10" l="1"/>
  <c r="C321" i="10" s="1"/>
  <c r="O320" i="10"/>
  <c r="D321" i="10" l="1"/>
  <c r="E321" i="10" l="1"/>
  <c r="O321" i="10"/>
  <c r="P321" i="10" s="1"/>
  <c r="L321" i="10"/>
  <c r="Q321" i="10" s="1"/>
  <c r="K321" i="10" l="1"/>
  <c r="C322" i="10"/>
  <c r="D322" i="10" l="1"/>
  <c r="E322" i="10" l="1"/>
  <c r="O322" i="10"/>
  <c r="C323" i="10" l="1"/>
  <c r="D323" i="10" l="1"/>
  <c r="E323" i="10" l="1"/>
  <c r="O323" i="10"/>
  <c r="C324" i="10" l="1"/>
  <c r="D324" i="10" l="1"/>
  <c r="E324" i="10" l="1"/>
  <c r="O324" i="10"/>
  <c r="C325" i="10" l="1"/>
  <c r="D325" i="10" l="1"/>
  <c r="E325" i="10" l="1"/>
  <c r="O325" i="10"/>
  <c r="C326" i="10" l="1"/>
  <c r="D326" i="10" l="1"/>
  <c r="E326" i="10" l="1"/>
  <c r="O326" i="10"/>
  <c r="C327" i="10" l="1"/>
  <c r="D327" i="10" l="1"/>
  <c r="E327" i="10" l="1"/>
  <c r="C328" i="10" s="1"/>
  <c r="O327" i="10"/>
  <c r="D328" i="10" l="1"/>
  <c r="E328" i="10" l="1"/>
  <c r="C329" i="10" s="1"/>
  <c r="O328" i="10"/>
  <c r="D329" i="10" l="1"/>
  <c r="E329" i="10" l="1"/>
  <c r="C330" i="10" s="1"/>
  <c r="O329" i="10"/>
  <c r="D330" i="10" l="1"/>
  <c r="E330" i="10" l="1"/>
  <c r="C331" i="10" s="1"/>
  <c r="O330" i="10"/>
  <c r="D331" i="10" l="1"/>
  <c r="E331" i="10" l="1"/>
  <c r="C332" i="10" s="1"/>
  <c r="O331" i="10"/>
  <c r="D332" i="10" l="1"/>
  <c r="E332" i="10" l="1"/>
  <c r="C333" i="10" s="1"/>
  <c r="O332" i="10"/>
  <c r="D333" i="10" l="1"/>
  <c r="E333" i="10" l="1"/>
  <c r="O333" i="10"/>
  <c r="P333" i="10" s="1"/>
  <c r="L333" i="10"/>
  <c r="Q333" i="10" s="1"/>
  <c r="K333" i="10" l="1"/>
  <c r="C334" i="10"/>
  <c r="D334" i="10" l="1"/>
  <c r="E334" i="10" l="1"/>
  <c r="O334" i="10"/>
  <c r="C335" i="10" l="1"/>
  <c r="D335" i="10" l="1"/>
  <c r="E335" i="10" l="1"/>
  <c r="O335" i="10"/>
  <c r="C336" i="10" l="1"/>
  <c r="D336" i="10" l="1"/>
  <c r="E336" i="10" l="1"/>
  <c r="O336" i="10"/>
  <c r="C337" i="10" l="1"/>
  <c r="D337" i="10" l="1"/>
  <c r="E337" i="10" l="1"/>
  <c r="O337" i="10"/>
  <c r="C338" i="10" l="1"/>
  <c r="D338" i="10" l="1"/>
  <c r="E338" i="10" l="1"/>
  <c r="O338" i="10"/>
  <c r="C339" i="10" l="1"/>
  <c r="D339" i="10" l="1"/>
  <c r="E339" i="10" l="1"/>
  <c r="C340" i="10" s="1"/>
  <c r="O339" i="10"/>
  <c r="D340" i="10" l="1"/>
  <c r="E340" i="10" l="1"/>
  <c r="C341" i="10" s="1"/>
  <c r="O340" i="10"/>
  <c r="D341" i="10" l="1"/>
  <c r="E341" i="10" l="1"/>
  <c r="C342" i="10" s="1"/>
  <c r="O341" i="10"/>
  <c r="D342" i="10" l="1"/>
  <c r="E342" i="10" l="1"/>
  <c r="C343" i="10" s="1"/>
  <c r="O342" i="10"/>
  <c r="D343" i="10" l="1"/>
  <c r="E343" i="10" l="1"/>
  <c r="C344" i="10" s="1"/>
  <c r="O343" i="10"/>
  <c r="D344" i="10" l="1"/>
  <c r="E344" i="10" l="1"/>
  <c r="C345" i="10" s="1"/>
  <c r="O344" i="10"/>
  <c r="D345" i="10" l="1"/>
  <c r="E345" i="10" l="1"/>
  <c r="O345" i="10"/>
  <c r="P345" i="10" s="1"/>
  <c r="L345" i="10"/>
  <c r="Q345" i="10" s="1"/>
  <c r="K345" i="10" l="1"/>
  <c r="C346" i="10"/>
  <c r="D346" i="10" l="1"/>
  <c r="E346" i="10" l="1"/>
  <c r="O346" i="10"/>
  <c r="C347" i="10" l="1"/>
  <c r="D347" i="10" l="1"/>
  <c r="E347" i="10" l="1"/>
  <c r="O347" i="10"/>
  <c r="C348" i="10" l="1"/>
  <c r="D348" i="10" l="1"/>
  <c r="E348" i="10" l="1"/>
  <c r="O348" i="10"/>
  <c r="C349" i="10" l="1"/>
  <c r="D349" i="10" l="1"/>
  <c r="E349" i="10" l="1"/>
  <c r="O349" i="10"/>
  <c r="C350" i="10" l="1"/>
  <c r="D350" i="10" l="1"/>
  <c r="E350" i="10" l="1"/>
  <c r="O350" i="10"/>
  <c r="C351" i="10" l="1"/>
  <c r="D351" i="10" l="1"/>
  <c r="E351" i="10" l="1"/>
  <c r="C352" i="10" s="1"/>
  <c r="O351" i="10"/>
  <c r="D352" i="10" l="1"/>
  <c r="E352" i="10" l="1"/>
  <c r="C353" i="10" s="1"/>
  <c r="O352" i="10"/>
  <c r="D353" i="10" l="1"/>
  <c r="E353" i="10" l="1"/>
  <c r="C354" i="10" s="1"/>
  <c r="O353" i="10"/>
  <c r="D354" i="10" l="1"/>
  <c r="E354" i="10" l="1"/>
  <c r="C355" i="10" s="1"/>
  <c r="O354" i="10"/>
  <c r="D355" i="10" l="1"/>
  <c r="E355" i="10" l="1"/>
  <c r="C356" i="10" s="1"/>
  <c r="O355" i="10"/>
  <c r="D356" i="10" l="1"/>
  <c r="E356" i="10" l="1"/>
  <c r="C357" i="10" s="1"/>
  <c r="O356" i="10"/>
  <c r="D357" i="10" l="1"/>
  <c r="E357" i="10" l="1"/>
  <c r="K357" i="10" s="1"/>
  <c r="D384" i="10"/>
  <c r="E388" i="10" s="1"/>
  <c r="E391" i="10" s="1"/>
  <c r="O357" i="10"/>
  <c r="P357" i="10" s="1"/>
  <c r="P384" i="10" s="1"/>
  <c r="L357" i="10"/>
  <c r="F358" i="10"/>
  <c r="E358" i="10" s="1"/>
  <c r="K369" i="10" s="1"/>
  <c r="Q357" i="10" l="1"/>
  <c r="Q384" i="10" s="1"/>
  <c r="L38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tc={9EF5375B-2AEE-4AC0-B235-87CA929A9635}</author>
    <author>tc={C33AEBB4-B019-401D-AF7B-DA32F8166473}</author>
    <author>tc={0F789385-EC83-4416-A83C-CA648942D924}</author>
    <author>tc={6381F78E-04CF-4F28-8123-077AE1ACB0EB}</author>
    <author>tc={A97F3DED-5210-4F33-B4F5-1B470C1C49B1}</author>
    <author>tc={46200284-ED14-4651-AEAA-4FBAA21E3D4D}</author>
    <author>tc={B48FEA15-6411-4007-9F30-8EEDF6D36D97}</author>
    <author>tc={42086EEA-91E6-4260-8B65-932993832DB4}</author>
    <author>tc={0ECE54C4-2BA8-4F5F-9874-7C97F39404B8}</author>
    <author>tc={4CCDC2A3-87F2-436F-9EA4-C7DCCE4DFF30}</author>
  </authors>
  <commentList>
    <comment ref="R5" authorId="0" shapeId="0" xr:uid="{9EF5375B-2AEE-4AC0-B235-87CA929A963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Balkonkraftwerk</t>
      </text>
    </comment>
    <comment ref="S6" authorId="1" shapeId="0" xr:uid="{C33AEBB4-B019-401D-AF7B-DA32F816647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Schreinerhof</t>
      </text>
    </comment>
    <comment ref="T6" authorId="2" shapeId="0" xr:uid="{0F789385-EC83-4416-A83C-CA648942D92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Küche</t>
      </text>
    </comment>
    <comment ref="U6" authorId="3" shapeId="0" xr:uid="{6381F78E-04CF-4F28-8123-077AE1ACB0E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Wohnungsrate</t>
      </text>
    </comment>
    <comment ref="T7" authorId="4" shapeId="0" xr:uid="{A97F3DED-5210-4F33-B4F5-1B470C1C49B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Schlafzimmer</t>
      </text>
    </comment>
    <comment ref="R8" authorId="5" shapeId="0" xr:uid="{46200284-ED14-4651-AEAA-4FBAA21E3D4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Urlaub Österreich</t>
      </text>
    </comment>
    <comment ref="T8" authorId="6" shapeId="0" xr:uid="{B48FEA15-6411-4007-9F30-8EEDF6D36D9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Sonderwunsch Wohnung</t>
      </text>
    </comment>
    <comment ref="S9" authorId="7" shapeId="0" xr:uid="{42086EEA-91E6-4260-8B65-932993832DB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Sondertilgung</t>
      </text>
    </comment>
    <comment ref="T9" authorId="8" shapeId="0" xr:uid="{0ECE54C4-2BA8-4F5F-9874-7C97F39404B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Abschlussrate Wohnung</t>
      </text>
    </comment>
    <comment ref="U9" authorId="9" shapeId="0" xr:uid="{4CCDC2A3-87F2-436F-9EA4-C7DCCE4DFF3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Rückerstattung Wohnung</t>
      </text>
    </comment>
  </commentList>
</comments>
</file>

<file path=xl/sharedStrings.xml><?xml version="1.0" encoding="utf-8"?>
<sst xmlns="http://schemas.openxmlformats.org/spreadsheetml/2006/main" count="655" uniqueCount="334">
  <si>
    <t>Income</t>
  </si>
  <si>
    <t>heiz</t>
  </si>
  <si>
    <t>strom</t>
  </si>
  <si>
    <t>sky</t>
  </si>
  <si>
    <t>intern</t>
  </si>
  <si>
    <t>handy</t>
  </si>
  <si>
    <t>Kinderg</t>
  </si>
  <si>
    <t>Ausgaben</t>
  </si>
  <si>
    <t>Summe IC</t>
  </si>
  <si>
    <t>Esse Ar</t>
  </si>
  <si>
    <t>Haus mit 40</t>
  </si>
  <si>
    <t>Haus ohne 40</t>
  </si>
  <si>
    <t>Haus ohne 40 mit Einschnitt</t>
  </si>
  <si>
    <t>miete/ rate</t>
  </si>
  <si>
    <t>Haus mit 40 mit Einschnitt</t>
  </si>
  <si>
    <t>Bina</t>
  </si>
  <si>
    <t>Übertrag</t>
  </si>
  <si>
    <t>DAZN</t>
  </si>
  <si>
    <t>Spotify</t>
  </si>
  <si>
    <t>Bargeld</t>
  </si>
  <si>
    <t>Shopping</t>
  </si>
  <si>
    <t>Lebensmittel</t>
  </si>
  <si>
    <t>Urlaub</t>
  </si>
  <si>
    <t>Weihnachtsgeld</t>
  </si>
  <si>
    <t>T-Zug</t>
  </si>
  <si>
    <t>T-Geld</t>
  </si>
  <si>
    <t>Umlage var.</t>
  </si>
  <si>
    <t>Summe</t>
  </si>
  <si>
    <t>Haus ohne 40 mit Radikal Einschnitt</t>
  </si>
  <si>
    <t>wohnen</t>
  </si>
  <si>
    <t>Lifestyle</t>
  </si>
  <si>
    <t>Freizeit</t>
  </si>
  <si>
    <t>Essen</t>
  </si>
  <si>
    <t>Auto</t>
  </si>
  <si>
    <t>Versicherung</t>
  </si>
  <si>
    <t>Drogerie</t>
  </si>
  <si>
    <t>Gesundheit</t>
  </si>
  <si>
    <t>Haustier</t>
  </si>
  <si>
    <t>Lohn/Gehalt</t>
  </si>
  <si>
    <t>Kindergeld</t>
  </si>
  <si>
    <t>Einnahmen</t>
  </si>
  <si>
    <t>Überschuss</t>
  </si>
  <si>
    <t>Überschuss Jahr</t>
  </si>
  <si>
    <t>aktuell</t>
  </si>
  <si>
    <t>mit Haus</t>
  </si>
  <si>
    <t>mit Haus und Maßnahme</t>
  </si>
  <si>
    <t>Einnahmen 2024</t>
  </si>
  <si>
    <t>Ausgaben 2024</t>
  </si>
  <si>
    <t>Haus mit 40 mit Radikal Einschnitt</t>
  </si>
  <si>
    <t>Nebenkosten 10%</t>
  </si>
  <si>
    <t>Kosten Gesamt</t>
  </si>
  <si>
    <t>EK</t>
  </si>
  <si>
    <t>Kredit</t>
  </si>
  <si>
    <t>Sparkonto</t>
  </si>
  <si>
    <t>Depot</t>
  </si>
  <si>
    <t>Kredit Bank</t>
  </si>
  <si>
    <t>GewinnB</t>
  </si>
  <si>
    <t>Summe Income/ Jahr</t>
  </si>
  <si>
    <t>Summe Ausgabe/ Jahr</t>
  </si>
  <si>
    <t>Übertrag/ Jahr</t>
  </si>
  <si>
    <t>Übertrag+SZ/Jahr</t>
  </si>
  <si>
    <t>Zinsen</t>
  </si>
  <si>
    <t>Mieteinnahmen</t>
  </si>
  <si>
    <t>kredit wohnung</t>
  </si>
  <si>
    <t>Aktien</t>
  </si>
  <si>
    <t>vom Brutto</t>
  </si>
  <si>
    <t>bereits abgezogen</t>
  </si>
  <si>
    <t>Rundfunk</t>
  </si>
  <si>
    <t>NK Mietwohnung</t>
  </si>
  <si>
    <t xml:space="preserve">Kalkulation Wohnungskauf </t>
  </si>
  <si>
    <t>Kaufpreis</t>
  </si>
  <si>
    <t xml:space="preserve">Stellplätze </t>
  </si>
  <si>
    <t xml:space="preserve">Rate </t>
  </si>
  <si>
    <t>2025 n.K.</t>
  </si>
  <si>
    <t>Ende 2025</t>
  </si>
  <si>
    <t>Ende 2026</t>
  </si>
  <si>
    <t>Jährlicher Überschuss nach Aktienkauf</t>
  </si>
  <si>
    <t>Depot ohne Rendite</t>
  </si>
  <si>
    <t>Aktienkauf jährlich (600 mtl.)</t>
  </si>
  <si>
    <t>Ende 2027</t>
  </si>
  <si>
    <t>Ende 2028</t>
  </si>
  <si>
    <t>Ende 2029</t>
  </si>
  <si>
    <t>Ende 2030</t>
  </si>
  <si>
    <t>Ende 2031</t>
  </si>
  <si>
    <t>Ende 2032</t>
  </si>
  <si>
    <t>Ende 2033</t>
  </si>
  <si>
    <t>Ende 2034</t>
  </si>
  <si>
    <t>Ende 2035</t>
  </si>
  <si>
    <t>Ende 2036</t>
  </si>
  <si>
    <t>Ende 2037</t>
  </si>
  <si>
    <t>Ende 2038</t>
  </si>
  <si>
    <t>Ende 2039</t>
  </si>
  <si>
    <t>Ende 2040</t>
  </si>
  <si>
    <t>Jährliche Sondertilgung</t>
  </si>
  <si>
    <t xml:space="preserve">Überschuss </t>
  </si>
  <si>
    <t>Wohnung Wert</t>
  </si>
  <si>
    <t>Depot mit Rendite</t>
  </si>
  <si>
    <t>GesamtV</t>
  </si>
  <si>
    <t>geschätzter Überschuss/ Jahr</t>
  </si>
  <si>
    <t>Rendite Wohnung</t>
  </si>
  <si>
    <t>Redite Aktiien</t>
  </si>
  <si>
    <t>Risikoabschlag</t>
  </si>
  <si>
    <t>Rate</t>
  </si>
  <si>
    <t>NK</t>
  </si>
  <si>
    <t>Mehrbelastung</t>
  </si>
  <si>
    <t>Miete</t>
  </si>
  <si>
    <t>Reduz. Auto</t>
  </si>
  <si>
    <t>Reduz. Aktie</t>
  </si>
  <si>
    <t>BAV</t>
  </si>
  <si>
    <t>Entfall Zinsen</t>
  </si>
  <si>
    <t>Steuereffekt</t>
  </si>
  <si>
    <t>Lohnlus 2026</t>
  </si>
  <si>
    <t xml:space="preserve">abs. Mehrbelastung jährlich </t>
  </si>
  <si>
    <t xml:space="preserve">abs. Mehrbelastung mtl. </t>
  </si>
  <si>
    <t>Gewinn</t>
  </si>
  <si>
    <t>Gewinn n. Steuer</t>
  </si>
  <si>
    <t>Steuer</t>
  </si>
  <si>
    <t>Einnahmen 15 Jahre</t>
  </si>
  <si>
    <t>KNK</t>
  </si>
  <si>
    <t>Einrichtung</t>
  </si>
  <si>
    <t>Benzin + Wartung</t>
  </si>
  <si>
    <t>Heute mit Wohnung ohne 40</t>
  </si>
  <si>
    <t>Investition Aktien</t>
  </si>
  <si>
    <t>Aktieninvest/ Jahr</t>
  </si>
  <si>
    <t>Sonderzahlung Wohnung</t>
  </si>
  <si>
    <t>ÜbertragFINAL/Jahr (Tagesgeld)</t>
  </si>
  <si>
    <t>optional: inkl. GWB (Tagesgeld)</t>
  </si>
  <si>
    <t>Überschuss/ Jahr ink. GWB</t>
  </si>
  <si>
    <t>Überschuss/ Jahr ohne GWB</t>
  </si>
  <si>
    <t>Sonstiges</t>
  </si>
  <si>
    <t>Sonderzahlung/Jahr</t>
  </si>
  <si>
    <t>ÜbertragFINAL/Monat (Tagesgeld)</t>
  </si>
  <si>
    <t>Übertrag+SZ/Jahr-Aktien&amp;Urlaub</t>
  </si>
  <si>
    <t>Notar</t>
  </si>
  <si>
    <t>Notar Grundschuld</t>
  </si>
  <si>
    <t>Grundbuch</t>
  </si>
  <si>
    <t>Grunderwerbssteuer</t>
  </si>
  <si>
    <t>1. Rate</t>
  </si>
  <si>
    <t>2. Rate</t>
  </si>
  <si>
    <t>Kaufpreis gesamt</t>
  </si>
  <si>
    <t>geleistete Zahlungen</t>
  </si>
  <si>
    <t>ausstehend</t>
  </si>
  <si>
    <t>verfügbares Tagesgeld</t>
  </si>
  <si>
    <t>nach Abzug</t>
  </si>
  <si>
    <t>Rate  E</t>
  </si>
  <si>
    <t>Rate F</t>
  </si>
  <si>
    <t>Rate G</t>
  </si>
  <si>
    <t>Rate A</t>
  </si>
  <si>
    <t>Rate B</t>
  </si>
  <si>
    <t>Rate C</t>
  </si>
  <si>
    <t>Rate D</t>
  </si>
  <si>
    <t>Rate A-2</t>
  </si>
  <si>
    <t>ausstehend aus EK</t>
  </si>
  <si>
    <t>inkl. Puffer</t>
  </si>
  <si>
    <t>Jan</t>
  </si>
  <si>
    <t>Feb</t>
  </si>
  <si>
    <t>Mrz</t>
  </si>
  <si>
    <t>Apr</t>
  </si>
  <si>
    <t>Mai</t>
  </si>
  <si>
    <t>Jun</t>
  </si>
  <si>
    <t>Jul</t>
  </si>
  <si>
    <t>Aug</t>
  </si>
  <si>
    <t>Sep</t>
  </si>
  <si>
    <t>Heute mit Zins</t>
  </si>
  <si>
    <t>Mietkalkulation</t>
  </si>
  <si>
    <t>€/ m²</t>
  </si>
  <si>
    <t>Kalt</t>
  </si>
  <si>
    <t>m²</t>
  </si>
  <si>
    <t>Stellplatz</t>
  </si>
  <si>
    <t xml:space="preserve">Warmmiete </t>
  </si>
  <si>
    <t>0,66% Regel</t>
  </si>
  <si>
    <t>Differenz</t>
  </si>
  <si>
    <t>Einnahmen Szenario 1</t>
  </si>
  <si>
    <t>Einnahmen Szenario 2</t>
  </si>
  <si>
    <t>Zinskosten vor Tilgung</t>
  </si>
  <si>
    <t>Startsumme</t>
  </si>
  <si>
    <t>Subvention Eltern/ Jahr</t>
  </si>
  <si>
    <t>Subvention Eltern/ 15 Jahre</t>
  </si>
  <si>
    <t>Oktober</t>
  </si>
  <si>
    <t>Restschuld</t>
  </si>
  <si>
    <t>Zins</t>
  </si>
  <si>
    <t>Tilgung</t>
  </si>
  <si>
    <t>Zinssatz</t>
  </si>
  <si>
    <t>Datum</t>
  </si>
  <si>
    <t>Sonderzahlung</t>
  </si>
  <si>
    <t>Abschreibung Küche</t>
  </si>
  <si>
    <t>Steuerersparnis Wohnung [netto]</t>
  </si>
  <si>
    <t>Casflow [mtl]</t>
  </si>
  <si>
    <t>Casflow [Jahr]</t>
  </si>
  <si>
    <t xml:space="preserve">effektive Steuerlast </t>
  </si>
  <si>
    <t>ROI dyn</t>
  </si>
  <si>
    <t>Netto Zins Überschuss [Jahr]</t>
  </si>
  <si>
    <t>Sonderkosten</t>
  </si>
  <si>
    <t>Gesamtkosten</t>
  </si>
  <si>
    <t>Eigenanteil</t>
  </si>
  <si>
    <t>Immobilienwert</t>
  </si>
  <si>
    <t>Summe Bankzahlung</t>
  </si>
  <si>
    <t>Wertsteigerung</t>
  </si>
  <si>
    <t>Wertsteigerung Immobilie</t>
  </si>
  <si>
    <t>Return on Equity</t>
  </si>
  <si>
    <t>Return on Equity (Jahr)</t>
  </si>
  <si>
    <t>Tilgung [Jahr]</t>
  </si>
  <si>
    <t>Ergebnis [Jahr]</t>
  </si>
  <si>
    <t>November</t>
  </si>
  <si>
    <t>Dezember</t>
  </si>
  <si>
    <t>Kaufnebenkosten</t>
  </si>
  <si>
    <t>Miete -Kosten</t>
  </si>
  <si>
    <t>netto Vermögens-steigerung  [Jahr]</t>
  </si>
  <si>
    <t>Steuerbonus</t>
  </si>
  <si>
    <t>Zinszahlung</t>
  </si>
  <si>
    <t>Anteil EK Kauf + Küche</t>
  </si>
  <si>
    <t>Totalgewinnprognose</t>
  </si>
  <si>
    <t>Jahre</t>
  </si>
  <si>
    <t>10% Zuschlag</t>
  </si>
  <si>
    <t>Werbungskosten</t>
  </si>
  <si>
    <t>Monat</t>
  </si>
  <si>
    <t>AFA</t>
  </si>
  <si>
    <t>10 % Abschlag</t>
  </si>
  <si>
    <t xml:space="preserve">Zinsen </t>
  </si>
  <si>
    <t>Jahr</t>
  </si>
  <si>
    <t>Totalgewinnüberschuss</t>
  </si>
  <si>
    <t>Ergebnis</t>
  </si>
  <si>
    <t>ohne Sonderzahlung</t>
  </si>
  <si>
    <t xml:space="preserve">mit Sonderzahlung </t>
  </si>
  <si>
    <t xml:space="preserve">14 Jahre </t>
  </si>
  <si>
    <t>1 Jahr miete</t>
  </si>
  <si>
    <t>Preis / qm</t>
  </si>
  <si>
    <t>Kaltmiete</t>
  </si>
  <si>
    <t>Stellplätze (2 Stück)</t>
  </si>
  <si>
    <t>Mieteinnahmen ab 01.06.2026</t>
  </si>
  <si>
    <t>Rendite Depot</t>
  </si>
  <si>
    <t>BU</t>
  </si>
  <si>
    <t>Steuererstattung</t>
  </si>
  <si>
    <t>Kontostand</t>
  </si>
  <si>
    <t>Betrag</t>
  </si>
  <si>
    <t>IST</t>
  </si>
  <si>
    <t>PROGNOSE</t>
  </si>
  <si>
    <t>Letzte Rate Wohnung</t>
  </si>
  <si>
    <t>Prognose</t>
  </si>
  <si>
    <t>Sonderwunsch Fließen</t>
  </si>
  <si>
    <t>Balkonkraftwerk</t>
  </si>
  <si>
    <t>Überschuss/ Unterdeckung 2026</t>
  </si>
  <si>
    <t>2026 Rückerstattung Wohnung</t>
  </si>
  <si>
    <t>Sondertilgung 2026</t>
  </si>
  <si>
    <t>Urlaubsgeld</t>
  </si>
  <si>
    <t>GB</t>
  </si>
  <si>
    <t>Dividende</t>
  </si>
  <si>
    <t>9 Monate Überschuss</t>
  </si>
  <si>
    <t>Transformationsgeld</t>
  </si>
  <si>
    <t>Reiten</t>
  </si>
  <si>
    <t>ALT</t>
  </si>
  <si>
    <t xml:space="preserve"> Heute mit Wohnung </t>
  </si>
  <si>
    <t>Urlaub Schreinerhof</t>
  </si>
  <si>
    <t>Urlaub Österreich</t>
  </si>
  <si>
    <t>Vorhalt Möbelkauf</t>
  </si>
  <si>
    <t xml:space="preserve">Sondertilgung </t>
  </si>
  <si>
    <t xml:space="preserve">Urlaub </t>
  </si>
  <si>
    <t>jährliche Depotmehrung</t>
  </si>
  <si>
    <t>Überschuss/ Monat</t>
  </si>
  <si>
    <t>generische Einnahmen</t>
  </si>
  <si>
    <t>Summe Monatsüberschüse</t>
  </si>
  <si>
    <t xml:space="preserve">Pauschale </t>
  </si>
  <si>
    <t>Summe (Ausstehend)</t>
  </si>
  <si>
    <t>T-Zug Teil B</t>
  </si>
  <si>
    <t>Weihnachtsgeld Bina</t>
  </si>
  <si>
    <t>Sparquote</t>
  </si>
  <si>
    <t>Zinseinnahmen</t>
  </si>
  <si>
    <t>BMW Dividende</t>
  </si>
  <si>
    <t>Sparen</t>
  </si>
  <si>
    <t>Wohnung</t>
  </si>
  <si>
    <t>Wohnung Sondertilgung</t>
  </si>
  <si>
    <t>Rate Küche</t>
  </si>
  <si>
    <t>Summe (normales Jahr)</t>
  </si>
  <si>
    <t>Summe (schlechtes Jahr)</t>
  </si>
  <si>
    <t>Überschuss/ Unterdeckung Generisch (normales Jahr)</t>
  </si>
  <si>
    <t>Überschuss/ Unterdeckung Generisch (schlechtes Jahr)</t>
  </si>
  <si>
    <t>Summe (gutes Jahr)</t>
  </si>
  <si>
    <t>Überschuss/ Unterdeckung Generisch (gutes Jahr)</t>
  </si>
  <si>
    <t>mietfahrzeug</t>
  </si>
  <si>
    <t>Sonderzahlung Umlage ohne Gewinnbeteiligung (GWB)</t>
  </si>
  <si>
    <t>Wohnung Besitzanteil</t>
  </si>
  <si>
    <t>Prozentualer Anteil</t>
  </si>
  <si>
    <t>Inflationsbereinigt</t>
  </si>
  <si>
    <t>Gesamtergebnis</t>
  </si>
  <si>
    <t>jährliche Wertsteigerung</t>
  </si>
  <si>
    <t>Inflationskosten (jährl.)</t>
  </si>
  <si>
    <t>Überschuss Grenze 50K</t>
  </si>
  <si>
    <t>Vermögenssteigerung in €</t>
  </si>
  <si>
    <t>Vermögenssteigerung in %</t>
  </si>
  <si>
    <t>Alter</t>
  </si>
  <si>
    <t>Ende 2041</t>
  </si>
  <si>
    <t>Ende 2042</t>
  </si>
  <si>
    <t>Ende 2043</t>
  </si>
  <si>
    <t>Ende 2044</t>
  </si>
  <si>
    <t>Ende 2045</t>
  </si>
  <si>
    <t>Ende 2046</t>
  </si>
  <si>
    <t>Ende 2047</t>
  </si>
  <si>
    <t>Ende 2048</t>
  </si>
  <si>
    <t>Ende 2049</t>
  </si>
  <si>
    <t>Tilgunsendeüberschuss</t>
  </si>
  <si>
    <t>Altersvorsorge BMW ohne Rendite</t>
  </si>
  <si>
    <t>Altersvorsorge BMW mit Rendite</t>
  </si>
  <si>
    <t>Rendite BMW AV</t>
  </si>
  <si>
    <t>Gesamtergebnis ohne BMW AV</t>
  </si>
  <si>
    <t>Ende 2050</t>
  </si>
  <si>
    <t>Ende 2051</t>
  </si>
  <si>
    <t>Ende 2052</t>
  </si>
  <si>
    <t>Gesamtergebnis mit Wertsteigerung Immo</t>
  </si>
  <si>
    <t>Gesamtergebnis mit Wertsteigerung Immo + BAV</t>
  </si>
  <si>
    <t>5. Rate</t>
  </si>
  <si>
    <t>Sonderwünsche Fließen</t>
  </si>
  <si>
    <t>Sonderwünsche Insekt</t>
  </si>
  <si>
    <t>EK letzte Rate</t>
  </si>
  <si>
    <t>5.Rate Wohnung</t>
  </si>
  <si>
    <t>2,30 €/m²</t>
  </si>
  <si>
    <t>700 Kalt</t>
  </si>
  <si>
    <t>750 Kalt</t>
  </si>
  <si>
    <t>Gesamtsumme Sparen</t>
  </si>
  <si>
    <t>Gesamtsumme Einnahmen [netto]</t>
  </si>
  <si>
    <t>Gesamtsumme Ausgaben</t>
  </si>
  <si>
    <t xml:space="preserve">2026 Einnahmen </t>
  </si>
  <si>
    <t xml:space="preserve"> Heute mit Wohnung und AVD</t>
  </si>
  <si>
    <t>Altersvorsorgedepot</t>
  </si>
  <si>
    <t>Altersvorsorge Bund ohne Rendite</t>
  </si>
  <si>
    <t>Altersvorsorge Bund mit Rendite</t>
  </si>
  <si>
    <t>Gesamtergebnis mit Wertsteigerung Immo + BAV + AVD</t>
  </si>
  <si>
    <t>Abweichung Ziel in %</t>
  </si>
  <si>
    <t>Abweichung Ziel in €</t>
  </si>
  <si>
    <t>DEPOT</t>
  </si>
  <si>
    <t>AVD BMW</t>
  </si>
  <si>
    <t>Summe Abweichung in €</t>
  </si>
  <si>
    <t>Summe Abweichung in %</t>
  </si>
  <si>
    <t>Heute mit Wohnung inkl. Downgrade</t>
  </si>
  <si>
    <t>Sonderwunsch Rollos + Spots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</si>
</sst>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\ &quot;€&quot;"/>
    <numFmt numFmtId="166" formatCode="#,##0.00\ &quot;€&quot;"/>
    <numFmt numFmtId="167" formatCode="0.0%"/>
    <numFmt numFmtId="168" formatCode="#.##0\ &quot;€&quot;"/>
  </numFmts>
  <fonts count="19" x14ac:knownFonts="1">
    <font>
      <sz val="11"/>
      <color theme="1"/>
      <name val="BMW Group Condensed"/>
      <family val="2"/>
      <scheme val="minor"/>
    </font>
    <font>
      <b/>
      <sz val="11"/>
      <color theme="1"/>
      <name val="BMW Group Condensed"/>
      <family val="2"/>
      <scheme val="minor"/>
    </font>
    <font>
      <sz val="11"/>
      <color rgb="FFFF0000"/>
      <name val="BMW Group Condensed"/>
      <family val="2"/>
      <scheme val="minor"/>
    </font>
    <font>
      <b/>
      <sz val="14"/>
      <color theme="1"/>
      <name val="BMW Group Condensed"/>
      <family val="2"/>
      <scheme val="minor"/>
    </font>
    <font>
      <b/>
      <sz val="18"/>
      <color theme="1"/>
      <name val="BMW Group Condensed"/>
      <family val="2"/>
      <scheme val="minor"/>
    </font>
    <font>
      <sz val="8"/>
      <color theme="1"/>
      <name val="BMW Group Condensed"/>
      <family val="2"/>
      <scheme val="minor"/>
    </font>
    <font>
      <sz val="11"/>
      <color theme="1"/>
      <name val="BMW Group Condensed"/>
      <family val="2"/>
      <scheme val="minor"/>
    </font>
    <font>
      <sz val="8"/>
      <name val="BMW Group Condensed"/>
      <family val="2"/>
      <scheme val="minor"/>
    </font>
    <font>
      <b/>
      <sz val="11"/>
      <color rgb="FFFF0000"/>
      <name val="BMW Group Condensed"/>
      <family val="2"/>
      <scheme val="minor"/>
    </font>
    <font>
      <sz val="18"/>
      <color theme="1"/>
      <name val="BMW Group Condensed"/>
      <family val="2"/>
      <scheme val="minor"/>
    </font>
    <font>
      <b/>
      <sz val="20"/>
      <color theme="1"/>
      <name val="BMW Group Condensed"/>
      <family val="2"/>
      <scheme val="minor"/>
    </font>
    <font>
      <sz val="20"/>
      <color theme="1"/>
      <name val="BMW Group Condensed"/>
      <family val="2"/>
      <scheme val="minor"/>
    </font>
    <font>
      <sz val="11"/>
      <color rgb="FF7030A0"/>
      <name val="BMW Group Condensed"/>
      <family val="2"/>
      <scheme val="minor"/>
    </font>
    <font>
      <b/>
      <sz val="12"/>
      <color theme="1"/>
      <name val="BMW Group Condensed"/>
      <family val="2"/>
      <scheme val="minor"/>
    </font>
    <font>
      <sz val="11"/>
      <color rgb="FF00B050"/>
      <name val="BMW Group Condensed"/>
      <family val="2"/>
      <scheme val="minor"/>
    </font>
    <font>
      <sz val="10"/>
      <color theme="1"/>
      <name val="BMW Group Condensed"/>
      <family val="2"/>
      <scheme val="minor"/>
    </font>
    <font>
      <sz val="11"/>
      <name val="BMW Group Condensed"/>
      <family val="2"/>
      <scheme val="minor"/>
    </font>
    <font>
      <sz val="12"/>
      <color theme="1"/>
      <name val="BMW Group Condensed"/>
      <family val="2"/>
      <scheme val="minor"/>
    </font>
    <font>
      <b/>
      <sz val="11"/>
      <color rgb="FF00B050"/>
      <name val="BMW Group Condensed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65">
    <xf numFmtId="0" fontId="0" fillId="0" borderId="0" xfId="0"/>
    <xf numFmtId="0" fontId="1" fillId="2" borderId="0" xfId="0" applyFont="1" applyFill="1"/>
    <xf numFmtId="0" fontId="1" fillId="7" borderId="1" xfId="0" applyFont="1" applyFill="1" applyBorder="1"/>
    <xf numFmtId="0" fontId="1" fillId="0" borderId="0" xfId="0" applyFont="1"/>
    <xf numFmtId="0" fontId="0" fillId="2" borderId="0" xfId="0" applyFill="1"/>
    <xf numFmtId="0" fontId="0" fillId="8" borderId="0" xfId="0" applyFill="1"/>
    <xf numFmtId="1" fontId="1" fillId="0" borderId="0" xfId="0" applyNumberFormat="1" applyFont="1"/>
    <xf numFmtId="165" fontId="0" fillId="0" borderId="0" xfId="0" applyNumberFormat="1"/>
    <xf numFmtId="0" fontId="1" fillId="3" borderId="2" xfId="0" applyFont="1" applyFill="1" applyBorder="1"/>
    <xf numFmtId="0" fontId="1" fillId="3" borderId="10" xfId="0" applyFont="1" applyFill="1" applyBorder="1"/>
    <xf numFmtId="0" fontId="1" fillId="4" borderId="11" xfId="0" applyFont="1" applyFill="1" applyBorder="1"/>
    <xf numFmtId="0" fontId="1" fillId="5" borderId="11" xfId="0" applyFont="1" applyFill="1" applyBorder="1"/>
    <xf numFmtId="0" fontId="3" fillId="6" borderId="4" xfId="0" applyFont="1" applyFill="1" applyBorder="1"/>
    <xf numFmtId="0" fontId="0" fillId="7" borderId="0" xfId="0" applyFill="1"/>
    <xf numFmtId="164" fontId="0" fillId="3" borderId="2" xfId="0" applyNumberFormat="1" applyFill="1" applyBorder="1"/>
    <xf numFmtId="164" fontId="0" fillId="3" borderId="10" xfId="0" applyNumberFormat="1" applyFill="1" applyBorder="1"/>
    <xf numFmtId="164" fontId="0" fillId="4" borderId="11" xfId="0" applyNumberFormat="1" applyFill="1" applyBorder="1"/>
    <xf numFmtId="164" fontId="0" fillId="5" borderId="11" xfId="0" applyNumberFormat="1" applyFill="1" applyBorder="1"/>
    <xf numFmtId="164" fontId="1" fillId="7" borderId="3" xfId="0" applyNumberFormat="1" applyFont="1" applyFill="1" applyBorder="1"/>
    <xf numFmtId="164" fontId="1" fillId="7" borderId="9" xfId="0" applyNumberFormat="1" applyFont="1" applyFill="1" applyBorder="1"/>
    <xf numFmtId="164" fontId="1" fillId="7" borderId="13" xfId="0" applyNumberFormat="1" applyFont="1" applyFill="1" applyBorder="1"/>
    <xf numFmtId="164" fontId="0" fillId="3" borderId="7" xfId="0" applyNumberFormat="1" applyFill="1" applyBorder="1"/>
    <xf numFmtId="164" fontId="2" fillId="4" borderId="11" xfId="0" applyNumberFormat="1" applyFont="1" applyFill="1" applyBorder="1"/>
    <xf numFmtId="164" fontId="2" fillId="5" borderId="11" xfId="0" applyNumberFormat="1" applyFont="1" applyFill="1" applyBorder="1"/>
    <xf numFmtId="164" fontId="1" fillId="2" borderId="8" xfId="0" applyNumberFormat="1" applyFont="1" applyFill="1" applyBorder="1"/>
    <xf numFmtId="164" fontId="3" fillId="7" borderId="5" xfId="0" applyNumberFormat="1" applyFont="1" applyFill="1" applyBorder="1"/>
    <xf numFmtId="164" fontId="3" fillId="7" borderId="6" xfId="0" applyNumberFormat="1" applyFont="1" applyFill="1" applyBorder="1"/>
    <xf numFmtId="164" fontId="3" fillId="7" borderId="12" xfId="0" applyNumberFormat="1" applyFont="1" applyFill="1" applyBorder="1"/>
    <xf numFmtId="164" fontId="3" fillId="10" borderId="12" xfId="0" applyNumberFormat="1" applyFont="1" applyFill="1" applyBorder="1"/>
    <xf numFmtId="164" fontId="3" fillId="9" borderId="12" xfId="0" applyNumberFormat="1" applyFont="1" applyFill="1" applyBorder="1"/>
    <xf numFmtId="164" fontId="0" fillId="0" borderId="0" xfId="0" applyNumberFormat="1"/>
    <xf numFmtId="164" fontId="0" fillId="7" borderId="0" xfId="0" applyNumberFormat="1" applyFill="1"/>
    <xf numFmtId="164" fontId="0" fillId="2" borderId="0" xfId="0" applyNumberFormat="1" applyFill="1"/>
    <xf numFmtId="164" fontId="4" fillId="7" borderId="0" xfId="0" applyNumberFormat="1" applyFont="1" applyFill="1"/>
    <xf numFmtId="164" fontId="4" fillId="9" borderId="0" xfId="0" applyNumberFormat="1" applyFont="1" applyFill="1"/>
    <xf numFmtId="164" fontId="4" fillId="10" borderId="0" xfId="0" applyNumberFormat="1" applyFont="1" applyFill="1"/>
    <xf numFmtId="164" fontId="0" fillId="9" borderId="0" xfId="0" applyNumberFormat="1" applyFill="1"/>
    <xf numFmtId="0" fontId="5" fillId="0" borderId="0" xfId="0" applyFont="1"/>
    <xf numFmtId="0" fontId="1" fillId="4" borderId="14" xfId="0" applyFont="1" applyFill="1" applyBorder="1"/>
    <xf numFmtId="164" fontId="0" fillId="4" borderId="14" xfId="0" applyNumberFormat="1" applyFill="1" applyBorder="1"/>
    <xf numFmtId="164" fontId="1" fillId="7" borderId="15" xfId="0" applyNumberFormat="1" applyFont="1" applyFill="1" applyBorder="1"/>
    <xf numFmtId="164" fontId="3" fillId="7" borderId="16" xfId="0" applyNumberFormat="1" applyFont="1" applyFill="1" applyBorder="1"/>
    <xf numFmtId="164" fontId="0" fillId="3" borderId="0" xfId="0" applyNumberFormat="1" applyFill="1"/>
    <xf numFmtId="0" fontId="1" fillId="4" borderId="17" xfId="0" applyFont="1" applyFill="1" applyBorder="1"/>
    <xf numFmtId="164" fontId="0" fillId="4" borderId="18" xfId="0" applyNumberFormat="1" applyFill="1" applyBorder="1"/>
    <xf numFmtId="164" fontId="1" fillId="7" borderId="19" xfId="0" applyNumberFormat="1" applyFont="1" applyFill="1" applyBorder="1"/>
    <xf numFmtId="164" fontId="2" fillId="4" borderId="18" xfId="0" applyNumberFormat="1" applyFont="1" applyFill="1" applyBorder="1"/>
    <xf numFmtId="164" fontId="3" fillId="7" borderId="20" xfId="0" applyNumberFormat="1" applyFont="1" applyFill="1" applyBorder="1"/>
    <xf numFmtId="164" fontId="0" fillId="3" borderId="18" xfId="0" applyNumberFormat="1" applyFill="1" applyBorder="1"/>
    <xf numFmtId="164" fontId="0" fillId="0" borderId="18" xfId="0" applyNumberFormat="1" applyBorder="1"/>
    <xf numFmtId="164" fontId="0" fillId="7" borderId="18" xfId="0" applyNumberFormat="1" applyFill="1" applyBorder="1"/>
    <xf numFmtId="164" fontId="0" fillId="2" borderId="18" xfId="0" applyNumberFormat="1" applyFill="1" applyBorder="1"/>
    <xf numFmtId="164" fontId="4" fillId="7" borderId="18" xfId="0" applyNumberFormat="1" applyFont="1" applyFill="1" applyBorder="1"/>
    <xf numFmtId="164" fontId="0" fillId="7" borderId="20" xfId="0" applyNumberFormat="1" applyFill="1" applyBorder="1"/>
    <xf numFmtId="0" fontId="5" fillId="8" borderId="0" xfId="0" applyFont="1" applyFill="1"/>
    <xf numFmtId="0" fontId="1" fillId="8" borderId="0" xfId="0" applyFont="1" applyFill="1"/>
    <xf numFmtId="164" fontId="2" fillId="4" borderId="14" xfId="0" applyNumberFormat="1" applyFont="1" applyFill="1" applyBorder="1"/>
    <xf numFmtId="164" fontId="2" fillId="3" borderId="2" xfId="0" applyNumberFormat="1" applyFont="1" applyFill="1" applyBorder="1"/>
    <xf numFmtId="164" fontId="0" fillId="4" borderId="0" xfId="0" applyNumberFormat="1" applyFill="1"/>
    <xf numFmtId="164" fontId="0" fillId="5" borderId="0" xfId="0" applyNumberFormat="1" applyFill="1"/>
    <xf numFmtId="164" fontId="2" fillId="5" borderId="0" xfId="0" applyNumberFormat="1" applyFont="1" applyFill="1"/>
    <xf numFmtId="10" fontId="0" fillId="0" borderId="0" xfId="1" applyNumberFormat="1" applyFont="1"/>
    <xf numFmtId="2" fontId="0" fillId="0" borderId="0" xfId="0" applyNumberFormat="1"/>
    <xf numFmtId="9" fontId="0" fillId="0" borderId="0" xfId="1" applyFont="1"/>
    <xf numFmtId="0" fontId="2" fillId="0" borderId="0" xfId="0" applyFont="1"/>
    <xf numFmtId="0" fontId="8" fillId="0" borderId="0" xfId="0" applyFont="1"/>
    <xf numFmtId="165" fontId="1" fillId="0" borderId="0" xfId="0" applyNumberFormat="1" applyFont="1"/>
    <xf numFmtId="0" fontId="0" fillId="5" borderId="0" xfId="0" applyFill="1"/>
    <xf numFmtId="164" fontId="9" fillId="7" borderId="0" xfId="0" applyNumberFormat="1" applyFont="1" applyFill="1"/>
    <xf numFmtId="164" fontId="10" fillId="7" borderId="5" xfId="0" applyNumberFormat="1" applyFont="1" applyFill="1" applyBorder="1"/>
    <xf numFmtId="164" fontId="10" fillId="7" borderId="16" xfId="0" applyNumberFormat="1" applyFont="1" applyFill="1" applyBorder="1"/>
    <xf numFmtId="164" fontId="10" fillId="7" borderId="20" xfId="0" applyNumberFormat="1" applyFont="1" applyFill="1" applyBorder="1"/>
    <xf numFmtId="164" fontId="10" fillId="7" borderId="12" xfId="0" applyNumberFormat="1" applyFont="1" applyFill="1" applyBorder="1"/>
    <xf numFmtId="164" fontId="10" fillId="9" borderId="12" xfId="0" applyNumberFormat="1" applyFont="1" applyFill="1" applyBorder="1"/>
    <xf numFmtId="0" fontId="11" fillId="8" borderId="0" xfId="0" applyFont="1" applyFill="1"/>
    <xf numFmtId="164" fontId="5" fillId="0" borderId="0" xfId="0" applyNumberFormat="1" applyFont="1"/>
    <xf numFmtId="164" fontId="12" fillId="3" borderId="2" xfId="0" applyNumberFormat="1" applyFont="1" applyFill="1" applyBorder="1"/>
    <xf numFmtId="0" fontId="0" fillId="11" borderId="0" xfId="0" applyFill="1"/>
    <xf numFmtId="0" fontId="13" fillId="6" borderId="4" xfId="0" applyFont="1" applyFill="1" applyBorder="1"/>
    <xf numFmtId="0" fontId="4" fillId="6" borderId="4" xfId="0" applyFont="1" applyFill="1" applyBorder="1"/>
    <xf numFmtId="164" fontId="14" fillId="3" borderId="2" xfId="0" applyNumberFormat="1" applyFont="1" applyFill="1" applyBorder="1"/>
    <xf numFmtId="44" fontId="0" fillId="0" borderId="0" xfId="0" applyNumberFormat="1"/>
    <xf numFmtId="44" fontId="2" fillId="0" borderId="0" xfId="0" applyNumberFormat="1" applyFont="1"/>
    <xf numFmtId="0" fontId="0" fillId="0" borderId="1" xfId="0" applyBorder="1"/>
    <xf numFmtId="44" fontId="2" fillId="0" borderId="1" xfId="0" applyNumberFormat="1" applyFont="1" applyBorder="1"/>
    <xf numFmtId="44" fontId="0" fillId="0" borderId="1" xfId="0" applyNumberFormat="1" applyBorder="1"/>
    <xf numFmtId="10" fontId="0" fillId="0" borderId="0" xfId="0" applyNumberFormat="1"/>
    <xf numFmtId="44" fontId="14" fillId="0" borderId="0" xfId="0" applyNumberFormat="1" applyFont="1"/>
    <xf numFmtId="9" fontId="14" fillId="0" borderId="0" xfId="0" applyNumberFormat="1" applyFont="1"/>
    <xf numFmtId="10" fontId="14" fillId="0" borderId="0" xfId="0" applyNumberFormat="1" applyFont="1"/>
    <xf numFmtId="166" fontId="0" fillId="0" borderId="0" xfId="0" applyNumberFormat="1"/>
    <xf numFmtId="164" fontId="1" fillId="0" borderId="0" xfId="0" applyNumberFormat="1" applyFont="1"/>
    <xf numFmtId="44" fontId="0" fillId="2" borderId="0" xfId="0" applyNumberFormat="1" applyFill="1"/>
    <xf numFmtId="166" fontId="0" fillId="2" borderId="0" xfId="0" applyNumberFormat="1" applyFill="1"/>
    <xf numFmtId="44" fontId="0" fillId="10" borderId="0" xfId="0" applyNumberFormat="1" applyFill="1"/>
    <xf numFmtId="0" fontId="0" fillId="10" borderId="0" xfId="0" applyFill="1"/>
    <xf numFmtId="0" fontId="1" fillId="10" borderId="0" xfId="0" applyFont="1" applyFill="1"/>
    <xf numFmtId="164" fontId="0" fillId="10" borderId="0" xfId="0" applyNumberFormat="1" applyFill="1"/>
    <xf numFmtId="166" fontId="0" fillId="10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25" xfId="0" applyFont="1" applyBorder="1"/>
    <xf numFmtId="44" fontId="0" fillId="0" borderId="0" xfId="0" applyNumberFormat="1" applyAlignment="1">
      <alignment horizontal="left" indent="1"/>
    </xf>
    <xf numFmtId="44" fontId="0" fillId="0" borderId="25" xfId="0" applyNumberFormat="1" applyBorder="1"/>
    <xf numFmtId="0" fontId="1" fillId="0" borderId="26" xfId="0" applyFont="1" applyBorder="1"/>
    <xf numFmtId="164" fontId="1" fillId="0" borderId="27" xfId="0" applyNumberFormat="1" applyFont="1" applyBorder="1"/>
    <xf numFmtId="44" fontId="0" fillId="0" borderId="27" xfId="0" applyNumberFormat="1" applyBorder="1"/>
    <xf numFmtId="0" fontId="0" fillId="0" borderId="27" xfId="0" applyBorder="1"/>
    <xf numFmtId="44" fontId="0" fillId="0" borderId="28" xfId="0" applyNumberFormat="1" applyBorder="1"/>
    <xf numFmtId="166" fontId="1" fillId="0" borderId="0" xfId="0" applyNumberFormat="1" applyFont="1"/>
    <xf numFmtId="10" fontId="1" fillId="0" borderId="0" xfId="0" applyNumberFormat="1" applyFont="1"/>
    <xf numFmtId="9" fontId="1" fillId="0" borderId="0" xfId="1" applyFont="1"/>
    <xf numFmtId="166" fontId="1" fillId="0" borderId="0" xfId="0" applyNumberFormat="1" applyFont="1" applyAlignment="1">
      <alignment wrapText="1"/>
    </xf>
    <xf numFmtId="167" fontId="0" fillId="0" borderId="0" xfId="1" applyNumberFormat="1" applyFont="1"/>
    <xf numFmtId="166" fontId="1" fillId="0" borderId="0" xfId="1" applyNumberFormat="1" applyFont="1"/>
    <xf numFmtId="0" fontId="1" fillId="0" borderId="29" xfId="0" applyFont="1" applyBorder="1"/>
    <xf numFmtId="166" fontId="1" fillId="0" borderId="29" xfId="0" applyNumberFormat="1" applyFont="1" applyBorder="1"/>
    <xf numFmtId="166" fontId="0" fillId="0" borderId="29" xfId="0" applyNumberFormat="1" applyBorder="1"/>
    <xf numFmtId="0" fontId="0" fillId="0" borderId="29" xfId="0" applyBorder="1"/>
    <xf numFmtId="14" fontId="1" fillId="0" borderId="29" xfId="0" applyNumberFormat="1" applyFont="1" applyBorder="1"/>
    <xf numFmtId="9" fontId="1" fillId="0" borderId="29" xfId="0" applyNumberFormat="1" applyFont="1" applyBorder="1"/>
    <xf numFmtId="14" fontId="0" fillId="0" borderId="29" xfId="0" applyNumberFormat="1" applyBorder="1"/>
    <xf numFmtId="14" fontId="0" fillId="2" borderId="29" xfId="0" applyNumberFormat="1" applyFill="1" applyBorder="1"/>
    <xf numFmtId="166" fontId="0" fillId="2" borderId="29" xfId="0" applyNumberFormat="1" applyFill="1" applyBorder="1"/>
    <xf numFmtId="0" fontId="0" fillId="2" borderId="29" xfId="0" applyFill="1" applyBorder="1"/>
    <xf numFmtId="166" fontId="0" fillId="8" borderId="0" xfId="0" applyNumberFormat="1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6" fontId="0" fillId="4" borderId="29" xfId="0" applyNumberFormat="1" applyFill="1" applyBorder="1"/>
    <xf numFmtId="0" fontId="0" fillId="4" borderId="29" xfId="0" applyFill="1" applyBorder="1"/>
    <xf numFmtId="14" fontId="0" fillId="4" borderId="29" xfId="0" applyNumberFormat="1" applyFill="1" applyBorder="1"/>
    <xf numFmtId="165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166" fontId="1" fillId="2" borderId="0" xfId="0" applyNumberFormat="1" applyFont="1" applyFill="1"/>
    <xf numFmtId="0" fontId="0" fillId="0" borderId="0" xfId="1" applyNumberFormat="1" applyFont="1"/>
    <xf numFmtId="44" fontId="1" fillId="0" borderId="0" xfId="0" applyNumberFormat="1" applyFont="1"/>
    <xf numFmtId="164" fontId="1" fillId="2" borderId="0" xfId="0" applyNumberFormat="1" applyFont="1" applyFill="1"/>
    <xf numFmtId="44" fontId="1" fillId="2" borderId="0" xfId="0" applyNumberFormat="1" applyFont="1" applyFill="1"/>
    <xf numFmtId="164" fontId="1" fillId="10" borderId="0" xfId="0" applyNumberFormat="1" applyFont="1" applyFill="1"/>
    <xf numFmtId="44" fontId="1" fillId="10" borderId="0" xfId="0" applyNumberFormat="1" applyFont="1" applyFill="1"/>
    <xf numFmtId="164" fontId="0" fillId="11" borderId="0" xfId="0" applyNumberFormat="1" applyFill="1" applyAlignment="1">
      <alignment horizontal="right"/>
    </xf>
    <xf numFmtId="164" fontId="0" fillId="11" borderId="0" xfId="0" applyNumberFormat="1" applyFill="1"/>
    <xf numFmtId="0" fontId="1" fillId="4" borderId="29" xfId="0" applyFont="1" applyFill="1" applyBorder="1"/>
    <xf numFmtId="14" fontId="1" fillId="4" borderId="29" xfId="0" applyNumberFormat="1" applyFont="1" applyFill="1" applyBorder="1"/>
    <xf numFmtId="166" fontId="1" fillId="4" borderId="29" xfId="0" applyNumberFormat="1" applyFont="1" applyFill="1" applyBorder="1"/>
    <xf numFmtId="9" fontId="1" fillId="4" borderId="29" xfId="0" applyNumberFormat="1" applyFont="1" applyFill="1" applyBorder="1"/>
    <xf numFmtId="14" fontId="0" fillId="0" borderId="0" xfId="0" applyNumberFormat="1"/>
    <xf numFmtId="0" fontId="1" fillId="0" borderId="30" xfId="0" applyFont="1" applyBorder="1"/>
    <xf numFmtId="0" fontId="1" fillId="0" borderId="31" xfId="0" applyFont="1" applyBorder="1"/>
    <xf numFmtId="44" fontId="1" fillId="0" borderId="32" xfId="0" applyNumberFormat="1" applyFont="1" applyBorder="1"/>
    <xf numFmtId="0" fontId="0" fillId="0" borderId="33" xfId="0" applyBorder="1"/>
    <xf numFmtId="0" fontId="1" fillId="0" borderId="34" xfId="0" applyFont="1" applyBorder="1"/>
    <xf numFmtId="0" fontId="1" fillId="0" borderId="35" xfId="0" applyFont="1" applyBorder="1"/>
    <xf numFmtId="164" fontId="0" fillId="0" borderId="11" xfId="0" applyNumberFormat="1" applyBorder="1" applyAlignment="1">
      <alignment horizontal="left"/>
    </xf>
    <xf numFmtId="164" fontId="1" fillId="0" borderId="36" xfId="0" applyNumberFormat="1" applyFont="1" applyBorder="1"/>
    <xf numFmtId="164" fontId="3" fillId="0" borderId="0" xfId="0" applyNumberFormat="1" applyFont="1"/>
    <xf numFmtId="164" fontId="0" fillId="7" borderId="11" xfId="0" applyNumberFormat="1" applyFill="1" applyBorder="1" applyAlignment="1">
      <alignment horizontal="left"/>
    </xf>
    <xf numFmtId="164" fontId="0" fillId="2" borderId="11" xfId="0" applyNumberFormat="1" applyFill="1" applyBorder="1" applyAlignment="1">
      <alignment horizontal="left"/>
    </xf>
    <xf numFmtId="164" fontId="0" fillId="10" borderId="11" xfId="0" applyNumberFormat="1" applyFill="1" applyBorder="1" applyAlignment="1">
      <alignment horizontal="left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11" xfId="0" applyBorder="1"/>
    <xf numFmtId="164" fontId="0" fillId="0" borderId="11" xfId="0" applyNumberFormat="1" applyBorder="1"/>
    <xf numFmtId="164" fontId="1" fillId="0" borderId="35" xfId="0" applyNumberFormat="1" applyFont="1" applyBorder="1"/>
    <xf numFmtId="0" fontId="15" fillId="0" borderId="0" xfId="0" applyFont="1"/>
    <xf numFmtId="14" fontId="15" fillId="0" borderId="0" xfId="0" applyNumberFormat="1" applyFont="1"/>
    <xf numFmtId="164" fontId="15" fillId="0" borderId="0" xfId="0" applyNumberFormat="1" applyFont="1"/>
    <xf numFmtId="1" fontId="0" fillId="0" borderId="0" xfId="0" applyNumberFormat="1"/>
    <xf numFmtId="165" fontId="0" fillId="10" borderId="0" xfId="0" applyNumberFormat="1" applyFill="1"/>
    <xf numFmtId="0" fontId="0" fillId="0" borderId="37" xfId="0" applyBorder="1"/>
    <xf numFmtId="0" fontId="0" fillId="0" borderId="38" xfId="0" applyBorder="1"/>
    <xf numFmtId="164" fontId="0" fillId="0" borderId="39" xfId="0" applyNumberFormat="1" applyBorder="1"/>
    <xf numFmtId="164" fontId="16" fillId="3" borderId="7" xfId="0" applyNumberFormat="1" applyFont="1" applyFill="1" applyBorder="1"/>
    <xf numFmtId="0" fontId="13" fillId="6" borderId="0" xfId="0" applyFont="1" applyFill="1"/>
    <xf numFmtId="164" fontId="16" fillId="3" borderId="2" xfId="0" applyNumberFormat="1" applyFont="1" applyFill="1" applyBorder="1"/>
    <xf numFmtId="165" fontId="0" fillId="3" borderId="29" xfId="0" applyNumberFormat="1" applyFill="1" applyBorder="1"/>
    <xf numFmtId="0" fontId="0" fillId="3" borderId="29" xfId="0" applyFill="1" applyBorder="1"/>
    <xf numFmtId="165" fontId="1" fillId="3" borderId="29" xfId="0" applyNumberFormat="1" applyFont="1" applyFill="1" applyBorder="1"/>
    <xf numFmtId="0" fontId="1" fillId="3" borderId="29" xfId="0" applyFont="1" applyFill="1" applyBorder="1"/>
    <xf numFmtId="0" fontId="1" fillId="2" borderId="29" xfId="0" applyFont="1" applyFill="1" applyBorder="1"/>
    <xf numFmtId="165" fontId="1" fillId="2" borderId="29" xfId="0" applyNumberFormat="1" applyFont="1" applyFill="1" applyBorder="1"/>
    <xf numFmtId="165" fontId="1" fillId="0" borderId="29" xfId="0" applyNumberFormat="1" applyFont="1" applyBorder="1"/>
    <xf numFmtId="164" fontId="0" fillId="0" borderId="29" xfId="0" applyNumberFormat="1" applyBorder="1"/>
    <xf numFmtId="165" fontId="0" fillId="2" borderId="29" xfId="0" applyNumberFormat="1" applyFill="1" applyBorder="1"/>
    <xf numFmtId="165" fontId="0" fillId="0" borderId="29" xfId="0" applyNumberFormat="1" applyBorder="1"/>
    <xf numFmtId="10" fontId="1" fillId="3" borderId="29" xfId="0" applyNumberFormat="1" applyFont="1" applyFill="1" applyBorder="1"/>
    <xf numFmtId="10" fontId="1" fillId="2" borderId="29" xfId="0" applyNumberFormat="1" applyFont="1" applyFill="1" applyBorder="1"/>
    <xf numFmtId="10" fontId="1" fillId="0" borderId="29" xfId="0" applyNumberFormat="1" applyFont="1" applyBorder="1"/>
    <xf numFmtId="0" fontId="3" fillId="0" borderId="29" xfId="0" applyFont="1" applyBorder="1"/>
    <xf numFmtId="165" fontId="3" fillId="3" borderId="29" xfId="0" applyNumberFormat="1" applyFont="1" applyFill="1" applyBorder="1"/>
    <xf numFmtId="165" fontId="3" fillId="2" borderId="29" xfId="0" applyNumberFormat="1" applyFont="1" applyFill="1" applyBorder="1"/>
    <xf numFmtId="165" fontId="3" fillId="12" borderId="29" xfId="0" applyNumberFormat="1" applyFont="1" applyFill="1" applyBorder="1"/>
    <xf numFmtId="165" fontId="17" fillId="3" borderId="29" xfId="0" applyNumberFormat="1" applyFont="1" applyFill="1" applyBorder="1"/>
    <xf numFmtId="165" fontId="17" fillId="2" borderId="29" xfId="0" applyNumberFormat="1" applyFont="1" applyFill="1" applyBorder="1"/>
    <xf numFmtId="165" fontId="17" fillId="0" borderId="29" xfId="0" applyNumberFormat="1" applyFont="1" applyBorder="1"/>
    <xf numFmtId="168" fontId="17" fillId="3" borderId="29" xfId="0" applyNumberFormat="1" applyFont="1" applyFill="1" applyBorder="1"/>
    <xf numFmtId="165" fontId="3" fillId="0" borderId="29" xfId="0" applyNumberFormat="1" applyFont="1" applyBorder="1"/>
    <xf numFmtId="0" fontId="3" fillId="9" borderId="29" xfId="0" applyFont="1" applyFill="1" applyBorder="1"/>
    <xf numFmtId="165" fontId="0" fillId="9" borderId="29" xfId="0" applyNumberFormat="1" applyFill="1" applyBorder="1"/>
    <xf numFmtId="0" fontId="0" fillId="9" borderId="29" xfId="0" applyFill="1" applyBorder="1"/>
    <xf numFmtId="165" fontId="3" fillId="9" borderId="29" xfId="0" applyNumberFormat="1" applyFont="1" applyFill="1" applyBorder="1"/>
    <xf numFmtId="0" fontId="13" fillId="0" borderId="29" xfId="0" applyFont="1" applyBorder="1"/>
    <xf numFmtId="165" fontId="13" fillId="3" borderId="29" xfId="0" applyNumberFormat="1" applyFont="1" applyFill="1" applyBorder="1"/>
    <xf numFmtId="0" fontId="13" fillId="3" borderId="29" xfId="0" applyFont="1" applyFill="1" applyBorder="1"/>
    <xf numFmtId="165" fontId="13" fillId="2" borderId="29" xfId="0" applyNumberFormat="1" applyFont="1" applyFill="1" applyBorder="1"/>
    <xf numFmtId="165" fontId="13" fillId="0" borderId="29" xfId="0" applyNumberFormat="1" applyFont="1" applyBorder="1"/>
    <xf numFmtId="0" fontId="13" fillId="0" borderId="0" xfId="0" applyFont="1"/>
    <xf numFmtId="164" fontId="13" fillId="3" borderId="29" xfId="0" applyNumberFormat="1" applyFont="1" applyFill="1" applyBorder="1"/>
    <xf numFmtId="164" fontId="13" fillId="2" borderId="29" xfId="0" applyNumberFormat="1" applyFont="1" applyFill="1" applyBorder="1"/>
    <xf numFmtId="164" fontId="13" fillId="0" borderId="29" xfId="0" applyNumberFormat="1" applyFont="1" applyBorder="1"/>
    <xf numFmtId="0" fontId="17" fillId="3" borderId="29" xfId="0" applyFont="1" applyFill="1" applyBorder="1"/>
    <xf numFmtId="0" fontId="17" fillId="0" borderId="0" xfId="0" applyFont="1"/>
    <xf numFmtId="167" fontId="3" fillId="9" borderId="29" xfId="1" applyNumberFormat="1" applyFont="1" applyFill="1" applyBorder="1"/>
    <xf numFmtId="0" fontId="14" fillId="0" borderId="0" xfId="0" applyFont="1"/>
    <xf numFmtId="0" fontId="1" fillId="7" borderId="0" xfId="0" applyFont="1" applyFill="1"/>
    <xf numFmtId="44" fontId="0" fillId="7" borderId="0" xfId="0" applyNumberFormat="1" applyFill="1"/>
    <xf numFmtId="164" fontId="1" fillId="7" borderId="0" xfId="0" applyNumberFormat="1" applyFont="1" applyFill="1"/>
    <xf numFmtId="44" fontId="1" fillId="7" borderId="0" xfId="0" applyNumberFormat="1" applyFont="1" applyFill="1"/>
    <xf numFmtId="166" fontId="0" fillId="7" borderId="0" xfId="0" applyNumberFormat="1" applyFill="1"/>
    <xf numFmtId="44" fontId="3" fillId="7" borderId="0" xfId="0" applyNumberFormat="1" applyFont="1" applyFill="1"/>
    <xf numFmtId="9" fontId="0" fillId="7" borderId="0" xfId="1" applyFont="1" applyFill="1"/>
    <xf numFmtId="9" fontId="0" fillId="2" borderId="0" xfId="1" applyFont="1" applyFill="1"/>
    <xf numFmtId="9" fontId="0" fillId="0" borderId="0" xfId="1" applyFont="1" applyFill="1"/>
    <xf numFmtId="9" fontId="0" fillId="10" borderId="0" xfId="1" applyFont="1" applyFill="1"/>
    <xf numFmtId="165" fontId="18" fillId="0" borderId="0" xfId="0" applyNumberFormat="1" applyFont="1"/>
    <xf numFmtId="9" fontId="1" fillId="7" borderId="0" xfId="1" applyFont="1" applyFill="1"/>
    <xf numFmtId="9" fontId="1" fillId="0" borderId="0" xfId="1" applyFont="1" applyFill="1"/>
    <xf numFmtId="9" fontId="1" fillId="2" borderId="0" xfId="1" applyFont="1" applyFill="1"/>
    <xf numFmtId="9" fontId="1" fillId="10" borderId="0" xfId="1" applyFont="1" applyFill="1"/>
    <xf numFmtId="164" fontId="9" fillId="8" borderId="0" xfId="0" applyNumberFormat="1" applyFont="1" applyFill="1"/>
    <xf numFmtId="164" fontId="4" fillId="2" borderId="0" xfId="0" applyNumberFormat="1" applyFont="1" applyFill="1"/>
    <xf numFmtId="0" fontId="0" fillId="7" borderId="33" xfId="0" applyFill="1" applyBorder="1"/>
    <xf numFmtId="14" fontId="0" fillId="7" borderId="0" xfId="0" applyNumberFormat="1" applyFill="1"/>
    <xf numFmtId="164" fontId="0" fillId="7" borderId="11" xfId="0" applyNumberFormat="1" applyFill="1" applyBorder="1"/>
    <xf numFmtId="0" fontId="1" fillId="5" borderId="0" xfId="0" applyFont="1" applyFill="1"/>
    <xf numFmtId="0" fontId="1" fillId="4" borderId="0" xfId="0" applyFont="1" applyFill="1"/>
    <xf numFmtId="0" fontId="0" fillId="4" borderId="0" xfId="0" applyFill="1"/>
    <xf numFmtId="0" fontId="1" fillId="3" borderId="0" xfId="0" applyFont="1" applyFill="1"/>
    <xf numFmtId="0" fontId="0" fillId="3" borderId="0" xfId="0" applyFill="1"/>
    <xf numFmtId="0" fontId="0" fillId="6" borderId="0" xfId="0" applyFill="1"/>
    <xf numFmtId="165" fontId="0" fillId="5" borderId="0" xfId="0" applyNumberFormat="1" applyFill="1"/>
    <xf numFmtId="165" fontId="0" fillId="4" borderId="0" xfId="0" applyNumberFormat="1" applyFill="1"/>
    <xf numFmtId="165" fontId="0" fillId="3" borderId="0" xfId="0" applyNumberFormat="1" applyFill="1"/>
    <xf numFmtId="165" fontId="0" fillId="6" borderId="0" xfId="0" applyNumberFormat="1" applyFill="1"/>
    <xf numFmtId="167" fontId="0" fillId="5" borderId="0" xfId="0" applyNumberFormat="1" applyFill="1"/>
    <xf numFmtId="167" fontId="0" fillId="4" borderId="0" xfId="0" applyNumberFormat="1" applyFill="1"/>
    <xf numFmtId="167" fontId="0" fillId="3" borderId="0" xfId="0" applyNumberFormat="1" applyFill="1"/>
    <xf numFmtId="167" fontId="0" fillId="6" borderId="0" xfId="0" applyNumberFormat="1" applyFill="1"/>
    <xf numFmtId="165" fontId="1" fillId="5" borderId="0" xfId="0" applyNumberFormat="1" applyFont="1" applyFill="1"/>
    <xf numFmtId="165" fontId="1" fillId="4" borderId="0" xfId="0" applyNumberFormat="1" applyFont="1" applyFill="1"/>
    <xf numFmtId="165" fontId="1" fillId="3" borderId="0" xfId="0" applyNumberFormat="1" applyFont="1" applyFill="1"/>
    <xf numFmtId="0" fontId="1" fillId="6" borderId="0" xfId="0" applyFont="1" applyFill="1"/>
    <xf numFmtId="165" fontId="1" fillId="6" borderId="0" xfId="0" applyNumberFormat="1" applyFont="1" applyFill="1"/>
    <xf numFmtId="0" fontId="1" fillId="13" borderId="0" xfId="0" applyFont="1" applyFill="1"/>
    <xf numFmtId="165" fontId="1" fillId="13" borderId="0" xfId="0" applyNumberFormat="1" applyFont="1" applyFill="1"/>
    <xf numFmtId="9" fontId="1" fillId="13" borderId="0" xfId="1" applyFont="1" applyFill="1"/>
    <xf numFmtId="167" fontId="4" fillId="7" borderId="0" xfId="1" applyNumberFormat="1" applyFont="1" applyFill="1"/>
    <xf numFmtId="167" fontId="0" fillId="7" borderId="0" xfId="0" applyNumberFormat="1" applyFill="1"/>
    <xf numFmtId="167" fontId="0" fillId="9" borderId="0" xfId="0" applyNumberFormat="1" applyFill="1"/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Prozent" xfId="1" builtinId="5"/>
    <cellStyle name="Standard" xfId="0" builtinId="0"/>
  </cellStyles>
  <dxfs count="2">
    <dxf>
      <font>
        <color rgb="FF000000"/>
      </font>
      <fill>
        <patternFill patternType="solid">
          <fgColor indexed="64"/>
          <bgColor rgb="FFC00000"/>
        </patternFill>
      </fill>
    </dxf>
    <dxf>
      <font>
        <color rgb="FF000000"/>
      </font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hueler Selina Faller" id="{C0AAB678-6862-4040-9EB1-A77D485396E6}" userId="S::Selina.Faller@o365.rs-eg.de::1d47653d-e329-47ee-9f75-15390ac057a0" providerId="AD"/>
</personList>
</file>

<file path=xl/theme/theme1.xml><?xml version="1.0" encoding="utf-8"?>
<a:theme xmlns:a="http://schemas.openxmlformats.org/drawingml/2006/main" name="BMW">
  <a:themeElements>
    <a:clrScheme name="Benutzerdefiniert 68">
      <a:dk1>
        <a:srgbClr val="000000"/>
      </a:dk1>
      <a:lt1>
        <a:sysClr val="window" lastClr="FFFFFF"/>
      </a:lt1>
      <a:dk2>
        <a:srgbClr val="404040"/>
      </a:dk2>
      <a:lt2>
        <a:srgbClr val="92A2BD"/>
      </a:lt2>
      <a:accent1>
        <a:srgbClr val="667184"/>
      </a:accent1>
      <a:accent2>
        <a:srgbClr val="92A2BD"/>
      </a:accent2>
      <a:accent3>
        <a:srgbClr val="ADB9CE"/>
      </a:accent3>
      <a:accent4>
        <a:srgbClr val="C9D1DE"/>
      </a:accent4>
      <a:accent5>
        <a:srgbClr val="E4E8EE"/>
      </a:accent5>
      <a:accent6>
        <a:srgbClr val="DDDAD2"/>
      </a:accent6>
      <a:hlink>
        <a:srgbClr val="000000"/>
      </a:hlink>
      <a:folHlink>
        <a:srgbClr val="000000"/>
      </a:folHlink>
    </a:clrScheme>
    <a:fontScheme name="BMW GROUP">
      <a:majorFont>
        <a:latin typeface="BMW Group Condensed"/>
        <a:ea typeface=""/>
        <a:cs typeface=""/>
      </a:majorFont>
      <a:minorFont>
        <a:latin typeface="BMW Group Condensed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CCCCCC"/>
        </a:solidFill>
        <a:ln>
          <a:noFill/>
        </a:ln>
      </a:spPr>
      <a:bodyPr rtlCol="0" anchor="t"/>
      <a:lstStyle>
        <a:defPPr algn="l" rtl="0" eaLnBrk="1" fontAlgn="auto" hangingPunct="1">
          <a:lnSpc>
            <a:spcPct val="100000"/>
          </a:lnSpc>
          <a:spcBef>
            <a:spcPts val="0"/>
          </a:spcBef>
          <a:spcAft>
            <a:spcPts val="0"/>
          </a:spcAft>
          <a:defRPr sz="1800" b="0" i="0" u="none" baseline="0" dirty="0" err="1" smtClean="0">
            <a:solidFill>
              <a:srgbClr val="666666"/>
            </a:solidFill>
            <a:latin typeface="BMW Group Condensed" panose="020B0606020202020204" pitchFamily="34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accent3">
              <a:lumMod val="75000"/>
            </a:schemeClr>
          </a:solidFill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vert="horz" wrap="none" lIns="0" tIns="0" rIns="0" bIns="0" rtlCol="0">
        <a:spAutoFit/>
      </a:bodyPr>
      <a:lstStyle>
        <a:defPPr algn="l" rtl="0" eaLnBrk="1" fontAlgn="auto" hangingPunct="1">
          <a:lnSpc>
            <a:spcPct val="100000"/>
          </a:lnSpc>
          <a:spcBef>
            <a:spcPts val="0"/>
          </a:spcBef>
          <a:spcAft>
            <a:spcPts val="0"/>
          </a:spcAft>
          <a:defRPr sz="1800" b="0" i="0" u="none" baseline="0" dirty="0" err="1" smtClean="0">
            <a:solidFill>
              <a:srgbClr val="000000"/>
            </a:solidFill>
            <a:latin typeface="BMW Group Condensed" panose="020B0606020202020204" pitchFamily="34" charset="0"/>
          </a:defRPr>
        </a:defPPr>
      </a:lstStyle>
    </a:txDef>
  </a:objectDefaults>
  <a:extraClrSchemeLst/>
  <a:custClrLst>
    <a:custClr name="Grundfarbe Schwarz">
      <a:srgbClr val="000000"/>
    </a:custClr>
    <a:custClr name="Grundfarbe Graubraun 1">
      <a:srgbClr val="555147"/>
    </a:custClr>
    <a:custClr name="Grundfarbe Blau 1">
      <a:srgbClr val="667084"/>
    </a:custClr>
    <a:custClr name="Grundfarbe Gruen 1">
      <a:srgbClr val="747400"/>
    </a:custClr>
    <a:custClr name="Grundfarbe Gelb 1">
      <a:srgbClr val="BE9809"/>
    </a:custClr>
    <a:custClr name="Akzentfarbe Orange 1">
      <a:srgbClr val="FE6700"/>
    </a:custClr>
    <a:custClr name="Akzentfarbe Braun 1">
      <a:srgbClr val="5B4334"/>
    </a:custClr>
    <a:custClr name="Akzentfarbe Rot 1">
      <a:srgbClr val="7C0A0E"/>
    </a:custClr>
    <a:custClr name="Zusatzfarbe Blau 1">
      <a:srgbClr val="3F7BFD"/>
    </a:custClr>
    <a:custClr name="Zusatzfarbe Gruen 1">
      <a:srgbClr val="3D6A3C"/>
    </a:custClr>
    <a:custClr name="Grundfarbe Grau 1">
      <a:srgbClr val="404040"/>
    </a:custClr>
    <a:custClr name="Grundfarbe Graubraun 2">
      <a:srgbClr val="7F7A6A"/>
    </a:custClr>
    <a:custClr name="Grundfarbe Blau 2">
      <a:srgbClr val="92A2BD"/>
    </a:custClr>
    <a:custClr name="Grundfarbe Gruen 2">
      <a:srgbClr val="959500"/>
    </a:custClr>
    <a:custClr name="Grundfarbe Gelb 2">
      <a:srgbClr val="FECB00"/>
    </a:custClr>
    <a:custClr name="Akzentfarbe Orange 2">
      <a:srgbClr val="FE8533"/>
    </a:custClr>
    <a:custClr name="Akzentfarbe Braun 2">
      <a:srgbClr val="9C5C48"/>
    </a:custClr>
    <a:custClr name="Akzentfarbe Rot 2">
      <a:srgbClr val="B20F14"/>
    </a:custClr>
    <a:custClr name="Zusatzfarbe Blau 2">
      <a:srgbClr val="6595FD"/>
    </a:custClr>
    <a:custClr name="Zusatzfarbe Gruen 2">
      <a:srgbClr val="648863"/>
    </a:custClr>
    <a:custClr name="Grundfarbe Grau 2">
      <a:srgbClr val="666666"/>
    </a:custClr>
    <a:custClr name="Grundfarbe Graubraun 3">
      <a:srgbClr val="AAA38E"/>
    </a:custClr>
    <a:custClr name="Grundfarbe Blau 3">
      <a:srgbClr val="ADB9CE"/>
    </a:custClr>
    <a:custClr name="Grundfarbe Gruen 3">
      <a:srgbClr val="B0B040"/>
    </a:custClr>
    <a:custClr name="Grundfarbe Gelb 3">
      <a:srgbClr val="FEE372"/>
    </a:custClr>
    <a:custClr name="Akzentfarbe Orange 3">
      <a:srgbClr val="FEA466"/>
    </a:custClr>
    <a:custClr name="Akzentfarbe Braun 3">
      <a:srgbClr val="976F57"/>
    </a:custClr>
    <a:custClr name="Akzentfarbe Rot 3">
      <a:srgbClr val="D16F72"/>
    </a:custClr>
    <a:custClr name="Zusatzfarbe Blau 3">
      <a:srgbClr val="8CB0FE"/>
    </a:custClr>
    <a:custClr name="Zusatzfarbe Gruen 3">
      <a:srgbClr val="8BA68A"/>
    </a:custClr>
    <a:custClr name="Grundfarbe Grau 3">
      <a:srgbClr val="999999"/>
    </a:custClr>
    <a:custClr name="Grundfarbe Graubraun 4">
      <a:srgbClr val="BFBAAA"/>
    </a:custClr>
    <a:custClr name="Grundfarbe Blau 4">
      <a:srgbClr val="C9D1DE"/>
    </a:custClr>
    <a:custClr name="Grundfarbe Gruen 4">
      <a:srgbClr val="CFCF8C"/>
    </a:custClr>
    <a:custClr name="Grundfarbe Gelb 4">
      <a:srgbClr val="FFEA99"/>
    </a:custClr>
    <a:custClr name="Akzentfarbe Orange 4">
      <a:srgbClr val="FFC299"/>
    </a:custClr>
    <a:custClr name="Akzentfarbe Braun 4">
      <a:srgbClr val="B19395"/>
    </a:custClr>
    <a:custClr name="Akzentfarbe Rot 4">
      <a:srgbClr val="DF9A9C"/>
    </a:custClr>
    <a:custClr name="Zusatzfarbe Blau 4">
      <a:srgbClr val="B2CAFE"/>
    </a:custClr>
    <a:custClr name="Zusatzfarbe Gruen 4">
      <a:srgbClr val="B1C3B1"/>
    </a:custClr>
    <a:custClr name="Grundfarbe Grau 4">
      <a:srgbClr val="CCCCCC"/>
    </a:custClr>
    <a:custClr name="Grundfarbe Graubraun 5">
      <a:srgbClr val="DDDAD2"/>
    </a:custClr>
    <a:custClr name="Grundfarbe Blau 5">
      <a:srgbClr val="E4E8EE"/>
    </a:custClr>
    <a:custClr name="Grundfarbe Gruen 5">
      <a:srgbClr val="EAEACC"/>
    </a:custClr>
    <a:custClr name="Grundfarbe Gelb 5">
      <a:srgbClr val="FFF5CC"/>
    </a:custClr>
    <a:custClr name="Akzentfarbe Orange 5">
      <a:srgbClr val="FFE1CC"/>
    </a:custClr>
    <a:custClr name="Akzentfarbe Braun 5">
      <a:srgbClr val="C8B3A6"/>
    </a:custClr>
    <a:custClr name="Akzentfarbe Rot 5">
      <a:srgbClr val="EABEBF"/>
    </a:custClr>
    <a:custClr name="Zusatzfarbe Blau 5">
      <a:srgbClr val="D9E5FF"/>
    </a:custClr>
    <a:custClr name="Zusatzfarbe Gruen 5">
      <a:srgbClr val="D8E1D8"/>
    </a:custClr>
  </a:custClrLst>
  <a:extLst>
    <a:ext uri="{05A4C25C-085E-4340-85A3-A5531E510DB2}">
      <thm15:themeFamily xmlns:thm15="http://schemas.microsoft.com/office/thememl/2012/main" name="BMW" id="{34D9DCBD-D85B-4EDB-9A3F-D3A1F43B2C8E}" vid="{A57D1A87-E024-412E-B2BB-84551590B2C8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5" dT="2026-05-22T19:12:19.30" personId="{C0AAB678-6862-4040-9EB1-A77D485396E6}" id="{9EF5375B-2AEE-4AC0-B235-87CA929A9635}">
    <text>Balkonkraftwerk</text>
  </threadedComment>
  <threadedComment ref="S6" dT="2026-05-22T19:12:39.19" personId="{C0AAB678-6862-4040-9EB1-A77D485396E6}" id="{C33AEBB4-B019-401D-AF7B-DA32F8166473}">
    <text>Schreinerhof</text>
  </threadedComment>
  <threadedComment ref="T6" dT="2026-05-22T19:12:51.20" personId="{C0AAB678-6862-4040-9EB1-A77D485396E6}" id="{0F789385-EC83-4416-A83C-CA648942D924}">
    <text>Küche</text>
  </threadedComment>
  <threadedComment ref="U6" dT="2026-05-22T19:13:05.23" personId="{C0AAB678-6862-4040-9EB1-A77D485396E6}" id="{6381F78E-04CF-4F28-8123-077AE1ACB0EB}">
    <text>Wohnungsrate</text>
  </threadedComment>
  <threadedComment ref="T7" dT="2026-05-22T19:13:19.02" personId="{C0AAB678-6862-4040-9EB1-A77D485396E6}" id="{A97F3DED-5210-4F33-B4F5-1B470C1C49B1}">
    <text>Schlafzimmer</text>
  </threadedComment>
  <threadedComment ref="R8" dT="2026-05-22T19:13:56.41" personId="{C0AAB678-6862-4040-9EB1-A77D485396E6}" id="{46200284-ED14-4651-AEAA-4FBAA21E3D4D}">
    <text>Urlaub Österreich</text>
  </threadedComment>
  <threadedComment ref="T8" dT="2026-05-22T19:13:30.31" personId="{C0AAB678-6862-4040-9EB1-A77D485396E6}" id="{B48FEA15-6411-4007-9F30-8EEDF6D36D97}">
    <text>Sonderwunsch Wohnung</text>
  </threadedComment>
  <threadedComment ref="S9" dT="2026-05-22T19:14:12.33" personId="{C0AAB678-6862-4040-9EB1-A77D485396E6}" id="{42086EEA-91E6-4260-8B65-932993832DB4}">
    <text>Sondertilgung</text>
  </threadedComment>
  <threadedComment ref="T9" dT="2026-05-22T19:14:48.61" personId="{C0AAB678-6862-4040-9EB1-A77D485396E6}" id="{0ECE54C4-2BA8-4F5F-9874-7C97F39404B8}">
    <text>Abschlussrate Wohnung</text>
  </threadedComment>
  <threadedComment ref="U9" dT="2026-05-22T19:15:33.18" personId="{C0AAB678-6862-4040-9EB1-A77D485396E6}" id="{4CCDC2A3-87F2-436F-9EA4-C7DCCE4DFF30}">
    <text>Rückerstattung Wohnung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topLeftCell="A20" zoomScale="115" zoomScaleNormal="115" workbookViewId="0">
      <selection activeCell="E34" sqref="E34"/>
    </sheetView>
  </sheetViews>
  <sheetFormatPr baseColWidth="10" defaultColWidth="11" defaultRowHeight="14.25" x14ac:dyDescent="0.2"/>
  <cols>
    <col min="1" max="1" width="40.875" bestFit="1" customWidth="1"/>
    <col min="2" max="2" width="20.875" bestFit="1" customWidth="1"/>
    <col min="3" max="3" width="20.875" customWidth="1"/>
    <col min="4" max="4" width="20.75" customWidth="1"/>
    <col min="5" max="5" width="26.75" bestFit="1" customWidth="1"/>
    <col min="6" max="6" width="26.5" customWidth="1"/>
    <col min="7" max="7" width="15.375" hidden="1" customWidth="1"/>
    <col min="8" max="8" width="21.75" hidden="1" customWidth="1"/>
    <col min="9" max="9" width="27.875" hidden="1" customWidth="1"/>
    <col min="10" max="10" width="21" hidden="1" customWidth="1"/>
    <col min="11" max="11" width="23" hidden="1" customWidth="1"/>
    <col min="12" max="12" width="29.125" hidden="1" customWidth="1"/>
    <col min="13" max="13" width="29.125" customWidth="1"/>
    <col min="14" max="14" width="1.375" style="5" customWidth="1"/>
  </cols>
  <sheetData>
    <row r="1" spans="1:17" x14ac:dyDescent="0.2">
      <c r="B1" s="8" t="s">
        <v>250</v>
      </c>
      <c r="C1" s="8" t="s">
        <v>163</v>
      </c>
      <c r="D1" s="8" t="s">
        <v>251</v>
      </c>
      <c r="E1" s="8" t="s">
        <v>332</v>
      </c>
      <c r="F1" s="9" t="s">
        <v>121</v>
      </c>
      <c r="G1" s="38" t="s">
        <v>10</v>
      </c>
      <c r="H1" s="43" t="s">
        <v>14</v>
      </c>
      <c r="I1" s="10" t="s">
        <v>48</v>
      </c>
      <c r="J1" s="11" t="s">
        <v>11</v>
      </c>
      <c r="K1" s="11" t="s">
        <v>12</v>
      </c>
      <c r="L1" s="11" t="s">
        <v>28</v>
      </c>
      <c r="M1" s="8" t="s">
        <v>321</v>
      </c>
    </row>
    <row r="2" spans="1:17" x14ac:dyDescent="0.2">
      <c r="A2" t="s">
        <v>0</v>
      </c>
      <c r="B2" s="14">
        <v>5650</v>
      </c>
      <c r="C2" s="14">
        <v>5930</v>
      </c>
      <c r="D2" s="14">
        <v>5930</v>
      </c>
      <c r="E2" s="14">
        <v>5930</v>
      </c>
      <c r="F2" s="15">
        <v>5230</v>
      </c>
      <c r="G2" s="39">
        <v>5600</v>
      </c>
      <c r="H2" s="44">
        <v>5600</v>
      </c>
      <c r="I2" s="16">
        <v>5600</v>
      </c>
      <c r="J2" s="17">
        <v>5000</v>
      </c>
      <c r="K2" s="17">
        <v>5000</v>
      </c>
      <c r="L2" s="17">
        <v>5000</v>
      </c>
      <c r="M2" s="14">
        <v>5930</v>
      </c>
    </row>
    <row r="3" spans="1:17" x14ac:dyDescent="0.2">
      <c r="A3" t="s">
        <v>6</v>
      </c>
      <c r="B3" s="14">
        <v>510</v>
      </c>
      <c r="C3" s="14">
        <v>518</v>
      </c>
      <c r="D3" s="14">
        <v>518</v>
      </c>
      <c r="E3" s="14">
        <v>518</v>
      </c>
      <c r="F3" s="15">
        <v>518</v>
      </c>
      <c r="G3" s="39">
        <v>510</v>
      </c>
      <c r="H3" s="44">
        <v>510</v>
      </c>
      <c r="I3" s="16">
        <v>510</v>
      </c>
      <c r="J3" s="17">
        <v>510</v>
      </c>
      <c r="K3" s="17">
        <v>510</v>
      </c>
      <c r="L3" s="17">
        <v>510</v>
      </c>
      <c r="M3" s="14">
        <v>518</v>
      </c>
    </row>
    <row r="4" spans="1:17" x14ac:dyDescent="0.2">
      <c r="A4" t="s">
        <v>15</v>
      </c>
      <c r="B4" s="14">
        <v>1350</v>
      </c>
      <c r="C4" s="14">
        <v>1350</v>
      </c>
      <c r="D4" s="14">
        <v>1350</v>
      </c>
      <c r="E4" s="14">
        <v>1350</v>
      </c>
      <c r="F4" s="15">
        <v>1350</v>
      </c>
      <c r="G4" s="39">
        <v>1280</v>
      </c>
      <c r="H4" s="44">
        <v>1280</v>
      </c>
      <c r="I4" s="16">
        <v>1280</v>
      </c>
      <c r="J4" s="17">
        <v>1280</v>
      </c>
      <c r="K4" s="17">
        <v>1280</v>
      </c>
      <c r="L4" s="17">
        <v>1280</v>
      </c>
      <c r="M4" s="14">
        <v>1350</v>
      </c>
    </row>
    <row r="5" spans="1:17" x14ac:dyDescent="0.2">
      <c r="A5" t="s">
        <v>62</v>
      </c>
      <c r="B5" s="14"/>
      <c r="C5" s="14"/>
      <c r="D5" s="14">
        <v>650</v>
      </c>
      <c r="E5" s="14">
        <v>650</v>
      </c>
      <c r="F5" s="15">
        <v>650</v>
      </c>
      <c r="G5" s="39"/>
      <c r="H5" s="44"/>
      <c r="I5" s="16"/>
      <c r="J5" s="17"/>
      <c r="K5" s="17"/>
      <c r="L5" s="17"/>
      <c r="M5" s="14">
        <v>650</v>
      </c>
    </row>
    <row r="6" spans="1:17" x14ac:dyDescent="0.2">
      <c r="A6" t="s">
        <v>266</v>
      </c>
      <c r="B6" s="14">
        <v>70</v>
      </c>
      <c r="C6" s="14">
        <v>70</v>
      </c>
      <c r="D6" s="14">
        <v>70</v>
      </c>
      <c r="E6" s="14">
        <v>70</v>
      </c>
      <c r="F6" s="15">
        <v>70</v>
      </c>
      <c r="G6" s="39"/>
      <c r="H6" s="44"/>
      <c r="I6" s="16"/>
      <c r="J6" s="17"/>
      <c r="K6" s="17"/>
      <c r="L6" s="17"/>
      <c r="M6" s="14">
        <v>70</v>
      </c>
    </row>
    <row r="7" spans="1:17" ht="15" thickBot="1" x14ac:dyDescent="0.25">
      <c r="A7" s="2" t="s">
        <v>8</v>
      </c>
      <c r="B7" s="18">
        <f>SUM(B2:B6)</f>
        <v>7580</v>
      </c>
      <c r="C7" s="18">
        <f>SUM(C2:C6)</f>
        <v>7868</v>
      </c>
      <c r="D7" s="18">
        <f>SUM(D2:D6)</f>
        <v>8518</v>
      </c>
      <c r="E7" s="18">
        <f>SUM(E2:E6)</f>
        <v>8518</v>
      </c>
      <c r="F7" s="19">
        <f>SUM(F2:F6)</f>
        <v>7818</v>
      </c>
      <c r="G7" s="40">
        <f t="shared" ref="G7:L7" si="0">SUM(G2:G4)</f>
        <v>7390</v>
      </c>
      <c r="H7" s="45">
        <f t="shared" si="0"/>
        <v>7390</v>
      </c>
      <c r="I7" s="20">
        <f t="shared" si="0"/>
        <v>7390</v>
      </c>
      <c r="J7" s="20">
        <f t="shared" si="0"/>
        <v>6790</v>
      </c>
      <c r="K7" s="20">
        <f t="shared" si="0"/>
        <v>6790</v>
      </c>
      <c r="L7" s="20">
        <f t="shared" si="0"/>
        <v>6790</v>
      </c>
      <c r="M7" s="18">
        <f>SUM(M2:M6)</f>
        <v>8518</v>
      </c>
    </row>
    <row r="8" spans="1:17" ht="15" thickTop="1" x14ac:dyDescent="0.2">
      <c r="A8" s="67" t="s">
        <v>231</v>
      </c>
      <c r="B8" s="21" t="s">
        <v>65</v>
      </c>
      <c r="C8" s="21">
        <v>105</v>
      </c>
      <c r="D8" s="175">
        <v>109</v>
      </c>
      <c r="E8" s="175">
        <v>109</v>
      </c>
      <c r="F8" s="175">
        <v>109</v>
      </c>
      <c r="G8" s="56">
        <v>0</v>
      </c>
      <c r="H8" s="44"/>
      <c r="I8" s="16"/>
      <c r="J8" s="17"/>
      <c r="K8" s="17"/>
      <c r="L8" s="17"/>
      <c r="M8" s="175">
        <v>109</v>
      </c>
    </row>
    <row r="9" spans="1:17" x14ac:dyDescent="0.2">
      <c r="A9" s="67" t="s">
        <v>9</v>
      </c>
      <c r="B9" s="14" t="s">
        <v>66</v>
      </c>
      <c r="C9" s="14" t="s">
        <v>66</v>
      </c>
      <c r="D9" s="14" t="s">
        <v>66</v>
      </c>
      <c r="E9" s="14" t="s">
        <v>66</v>
      </c>
      <c r="F9" s="14" t="s">
        <v>66</v>
      </c>
      <c r="G9" s="39">
        <v>100</v>
      </c>
      <c r="H9" s="44">
        <v>100</v>
      </c>
      <c r="I9" s="16">
        <v>100</v>
      </c>
      <c r="J9" s="17">
        <v>100</v>
      </c>
      <c r="K9" s="17">
        <v>100</v>
      </c>
      <c r="L9" s="17">
        <v>100</v>
      </c>
      <c r="M9" s="14" t="s">
        <v>66</v>
      </c>
    </row>
    <row r="10" spans="1:17" x14ac:dyDescent="0.2">
      <c r="A10" s="67" t="s">
        <v>1</v>
      </c>
      <c r="B10" s="14">
        <v>130</v>
      </c>
      <c r="C10" s="14">
        <v>145</v>
      </c>
      <c r="D10" s="14">
        <v>145</v>
      </c>
      <c r="E10" s="76">
        <v>145</v>
      </c>
      <c r="F10" s="14">
        <v>145</v>
      </c>
      <c r="G10" s="39">
        <v>100</v>
      </c>
      <c r="H10" s="44">
        <v>100</v>
      </c>
      <c r="I10" s="16">
        <v>100</v>
      </c>
      <c r="J10" s="17">
        <v>100</v>
      </c>
      <c r="K10" s="17">
        <v>100</v>
      </c>
      <c r="L10" s="17">
        <v>100</v>
      </c>
      <c r="M10" s="14">
        <v>145</v>
      </c>
    </row>
    <row r="11" spans="1:17" x14ac:dyDescent="0.2">
      <c r="A11" s="67" t="s">
        <v>13</v>
      </c>
      <c r="B11" s="14">
        <v>1225</v>
      </c>
      <c r="C11" s="14">
        <v>1225</v>
      </c>
      <c r="D11" s="14">
        <v>1225</v>
      </c>
      <c r="E11" s="76">
        <v>1225</v>
      </c>
      <c r="F11" s="14">
        <v>1225</v>
      </c>
      <c r="G11" s="56">
        <v>3000</v>
      </c>
      <c r="H11" s="44">
        <v>3000</v>
      </c>
      <c r="I11" s="16">
        <v>3000</v>
      </c>
      <c r="J11" s="17">
        <v>3000</v>
      </c>
      <c r="K11" s="17">
        <v>3000</v>
      </c>
      <c r="L11" s="17">
        <v>3000</v>
      </c>
      <c r="M11" s="14">
        <v>1225</v>
      </c>
    </row>
    <row r="12" spans="1:17" x14ac:dyDescent="0.2">
      <c r="A12" s="67" t="s">
        <v>68</v>
      </c>
      <c r="B12" s="14"/>
      <c r="C12" s="14"/>
      <c r="D12" s="177">
        <v>70</v>
      </c>
      <c r="E12" s="14">
        <v>70</v>
      </c>
      <c r="F12" s="14">
        <v>70</v>
      </c>
      <c r="G12" s="56"/>
      <c r="H12" s="44"/>
      <c r="I12" s="16"/>
      <c r="J12" s="17"/>
      <c r="K12" s="17"/>
      <c r="L12" s="17"/>
      <c r="M12" s="177">
        <v>70</v>
      </c>
    </row>
    <row r="13" spans="1:17" x14ac:dyDescent="0.2">
      <c r="A13" s="67" t="s">
        <v>63</v>
      </c>
      <c r="B13" s="14"/>
      <c r="C13" s="14">
        <v>623</v>
      </c>
      <c r="D13" s="177">
        <v>1350</v>
      </c>
      <c r="E13" s="14">
        <v>1350</v>
      </c>
      <c r="F13" s="14">
        <v>1350</v>
      </c>
      <c r="G13" s="56"/>
      <c r="H13" s="44"/>
      <c r="I13" s="16"/>
      <c r="J13" s="17"/>
      <c r="K13" s="17"/>
      <c r="L13" s="17"/>
      <c r="M13" s="177">
        <v>1350</v>
      </c>
    </row>
    <row r="14" spans="1:17" x14ac:dyDescent="0.2">
      <c r="A14" s="67" t="s">
        <v>17</v>
      </c>
      <c r="B14" s="14">
        <v>35</v>
      </c>
      <c r="C14" s="14">
        <v>35</v>
      </c>
      <c r="D14" s="14">
        <v>35</v>
      </c>
      <c r="E14" s="76">
        <v>35</v>
      </c>
      <c r="F14" s="14">
        <v>35</v>
      </c>
      <c r="G14" s="39">
        <v>25</v>
      </c>
      <c r="H14" s="44">
        <v>25</v>
      </c>
      <c r="I14" s="16"/>
      <c r="J14" s="17">
        <v>25</v>
      </c>
      <c r="K14" s="17">
        <v>25</v>
      </c>
      <c r="L14" s="17"/>
      <c r="M14" s="14">
        <v>35</v>
      </c>
    </row>
    <row r="15" spans="1:17" x14ac:dyDescent="0.2">
      <c r="A15" s="67" t="s">
        <v>278</v>
      </c>
      <c r="B15" s="14">
        <v>693</v>
      </c>
      <c r="C15" s="14">
        <v>488</v>
      </c>
      <c r="D15" s="177">
        <v>488</v>
      </c>
      <c r="E15" s="14">
        <v>488</v>
      </c>
      <c r="F15" s="177">
        <v>488</v>
      </c>
      <c r="G15" s="56">
        <v>550</v>
      </c>
      <c r="H15" s="46">
        <v>400</v>
      </c>
      <c r="I15" s="22">
        <v>350</v>
      </c>
      <c r="J15" s="17">
        <v>550</v>
      </c>
      <c r="K15" s="23">
        <v>400</v>
      </c>
      <c r="L15" s="23">
        <v>350</v>
      </c>
      <c r="M15" s="177">
        <v>488</v>
      </c>
    </row>
    <row r="16" spans="1:17" x14ac:dyDescent="0.2">
      <c r="A16" s="67" t="s">
        <v>2</v>
      </c>
      <c r="B16" s="14">
        <v>130</v>
      </c>
      <c r="C16" s="14">
        <v>65</v>
      </c>
      <c r="D16" s="177">
        <v>65</v>
      </c>
      <c r="E16" s="76">
        <v>65</v>
      </c>
      <c r="F16" s="14">
        <v>65</v>
      </c>
      <c r="G16" s="39">
        <v>115</v>
      </c>
      <c r="H16" s="44">
        <v>115</v>
      </c>
      <c r="I16" s="16">
        <v>115</v>
      </c>
      <c r="J16" s="17">
        <v>115</v>
      </c>
      <c r="K16" s="17">
        <v>115</v>
      </c>
      <c r="L16" s="17">
        <v>115</v>
      </c>
      <c r="M16" s="177">
        <v>100</v>
      </c>
      <c r="Q16">
        <v>750</v>
      </c>
    </row>
    <row r="17" spans="1:17" x14ac:dyDescent="0.2">
      <c r="A17" s="67" t="s">
        <v>3</v>
      </c>
      <c r="B17" s="14">
        <v>71</v>
      </c>
      <c r="C17" s="14">
        <v>71</v>
      </c>
      <c r="D17" s="14">
        <v>71</v>
      </c>
      <c r="E17" s="14">
        <v>71</v>
      </c>
      <c r="F17" s="14">
        <v>71</v>
      </c>
      <c r="G17" s="39">
        <v>62</v>
      </c>
      <c r="H17" s="44">
        <v>62</v>
      </c>
      <c r="I17" s="16"/>
      <c r="J17" s="17">
        <v>62</v>
      </c>
      <c r="K17" s="17">
        <v>62</v>
      </c>
      <c r="L17" s="17"/>
      <c r="M17" s="14">
        <v>71</v>
      </c>
      <c r="Q17">
        <v>250</v>
      </c>
    </row>
    <row r="18" spans="1:17" x14ac:dyDescent="0.2">
      <c r="A18" s="67" t="s">
        <v>4</v>
      </c>
      <c r="B18" s="14">
        <v>43</v>
      </c>
      <c r="C18" s="14">
        <v>43</v>
      </c>
      <c r="D18" s="14">
        <v>43</v>
      </c>
      <c r="E18" s="14">
        <v>43</v>
      </c>
      <c r="F18" s="14">
        <v>43</v>
      </c>
      <c r="G18" s="39">
        <v>43</v>
      </c>
      <c r="H18" s="44">
        <v>43</v>
      </c>
      <c r="I18" s="16">
        <v>43</v>
      </c>
      <c r="J18" s="17">
        <v>43</v>
      </c>
      <c r="K18" s="17">
        <v>43</v>
      </c>
      <c r="L18" s="17">
        <v>43</v>
      </c>
      <c r="M18" s="14">
        <v>43</v>
      </c>
      <c r="Q18">
        <v>80</v>
      </c>
    </row>
    <row r="19" spans="1:17" x14ac:dyDescent="0.2">
      <c r="A19" s="67" t="s">
        <v>5</v>
      </c>
      <c r="B19" s="14">
        <v>50</v>
      </c>
      <c r="C19" s="14">
        <v>50</v>
      </c>
      <c r="D19" s="14">
        <v>40</v>
      </c>
      <c r="E19" s="14">
        <v>40</v>
      </c>
      <c r="F19" s="14">
        <v>40</v>
      </c>
      <c r="G19" s="39">
        <v>40</v>
      </c>
      <c r="H19" s="44">
        <v>40</v>
      </c>
      <c r="I19" s="16">
        <v>40</v>
      </c>
      <c r="J19" s="17">
        <v>40</v>
      </c>
      <c r="K19" s="17">
        <v>40</v>
      </c>
      <c r="L19" s="17">
        <v>40</v>
      </c>
      <c r="M19" s="14">
        <v>40</v>
      </c>
      <c r="P19">
        <f>Q16-Q17-Q18</f>
        <v>420</v>
      </c>
    </row>
    <row r="20" spans="1:17" x14ac:dyDescent="0.2">
      <c r="A20" s="67" t="s">
        <v>18</v>
      </c>
      <c r="B20" s="14">
        <v>11</v>
      </c>
      <c r="C20" s="14">
        <v>13</v>
      </c>
      <c r="D20" s="14">
        <v>13</v>
      </c>
      <c r="E20" s="76">
        <v>13</v>
      </c>
      <c r="F20" s="14">
        <v>13</v>
      </c>
      <c r="G20" s="39">
        <v>11</v>
      </c>
      <c r="H20" s="44">
        <v>11</v>
      </c>
      <c r="I20" s="16">
        <v>11</v>
      </c>
      <c r="J20" s="17">
        <v>11</v>
      </c>
      <c r="K20" s="17">
        <v>11</v>
      </c>
      <c r="L20" s="17">
        <v>11</v>
      </c>
      <c r="M20" s="14">
        <v>13</v>
      </c>
      <c r="Q20">
        <v>300</v>
      </c>
    </row>
    <row r="21" spans="1:17" x14ac:dyDescent="0.2">
      <c r="A21" s="67" t="s">
        <v>67</v>
      </c>
      <c r="B21" s="14">
        <v>18</v>
      </c>
      <c r="C21" s="14">
        <v>18</v>
      </c>
      <c r="D21" s="14">
        <v>18</v>
      </c>
      <c r="E21" s="76">
        <v>18</v>
      </c>
      <c r="F21" s="14">
        <v>18</v>
      </c>
      <c r="G21" s="39"/>
      <c r="H21" s="44"/>
      <c r="I21" s="16"/>
      <c r="J21" s="17"/>
      <c r="K21" s="17"/>
      <c r="L21" s="17"/>
      <c r="M21" s="14">
        <v>18</v>
      </c>
      <c r="P21">
        <f>P19-Q20</f>
        <v>120</v>
      </c>
    </row>
    <row r="22" spans="1:17" x14ac:dyDescent="0.2">
      <c r="A22" s="67" t="s">
        <v>19</v>
      </c>
      <c r="B22" s="14">
        <v>450</v>
      </c>
      <c r="C22" s="14">
        <v>400</v>
      </c>
      <c r="D22" s="14">
        <v>400</v>
      </c>
      <c r="E22" s="14">
        <v>400</v>
      </c>
      <c r="F22" s="14">
        <v>400</v>
      </c>
      <c r="G22" s="39">
        <v>450</v>
      </c>
      <c r="H22" s="44">
        <v>450</v>
      </c>
      <c r="I22" s="16">
        <v>450</v>
      </c>
      <c r="J22" s="17">
        <v>450</v>
      </c>
      <c r="K22" s="17">
        <v>450</v>
      </c>
      <c r="L22" s="17">
        <v>450</v>
      </c>
      <c r="M22" s="14">
        <v>400</v>
      </c>
    </row>
    <row r="23" spans="1:17" x14ac:dyDescent="0.2">
      <c r="A23" s="67" t="s">
        <v>20</v>
      </c>
      <c r="B23" s="14">
        <v>650</v>
      </c>
      <c r="C23" s="14">
        <v>700</v>
      </c>
      <c r="D23" s="177">
        <v>700</v>
      </c>
      <c r="E23" s="57">
        <v>700</v>
      </c>
      <c r="F23" s="57">
        <v>500</v>
      </c>
      <c r="G23" s="39">
        <v>850</v>
      </c>
      <c r="H23" s="46">
        <v>650</v>
      </c>
      <c r="I23" s="22">
        <v>450</v>
      </c>
      <c r="J23" s="17">
        <v>850</v>
      </c>
      <c r="K23" s="23">
        <v>650</v>
      </c>
      <c r="L23" s="23">
        <v>450</v>
      </c>
      <c r="M23" s="177">
        <v>700</v>
      </c>
    </row>
    <row r="24" spans="1:17" x14ac:dyDescent="0.2">
      <c r="A24" s="67" t="s">
        <v>120</v>
      </c>
      <c r="B24" s="14">
        <v>300</v>
      </c>
      <c r="C24" s="14">
        <v>300</v>
      </c>
      <c r="D24" s="14">
        <v>300</v>
      </c>
      <c r="E24" s="76">
        <v>300</v>
      </c>
      <c r="F24" s="14">
        <v>300</v>
      </c>
      <c r="G24" s="39">
        <v>300</v>
      </c>
      <c r="H24" s="44">
        <v>300</v>
      </c>
      <c r="I24" s="16">
        <v>300</v>
      </c>
      <c r="J24" s="17">
        <v>300</v>
      </c>
      <c r="K24" s="17">
        <v>300</v>
      </c>
      <c r="L24" s="17">
        <v>300</v>
      </c>
      <c r="M24" s="14">
        <v>300</v>
      </c>
    </row>
    <row r="25" spans="1:17" x14ac:dyDescent="0.2">
      <c r="A25" s="67" t="s">
        <v>21</v>
      </c>
      <c r="B25" s="14">
        <v>800</v>
      </c>
      <c r="C25" s="14">
        <v>800</v>
      </c>
      <c r="D25" s="14">
        <v>800</v>
      </c>
      <c r="E25" s="76">
        <v>800</v>
      </c>
      <c r="F25" s="14">
        <v>800</v>
      </c>
      <c r="G25" s="39">
        <v>850</v>
      </c>
      <c r="H25" s="44">
        <v>850</v>
      </c>
      <c r="I25" s="16">
        <v>800</v>
      </c>
      <c r="J25" s="17">
        <v>850</v>
      </c>
      <c r="K25" s="17">
        <v>850</v>
      </c>
      <c r="L25" s="23">
        <v>800</v>
      </c>
      <c r="M25" s="14">
        <v>800</v>
      </c>
    </row>
    <row r="26" spans="1:17" x14ac:dyDescent="0.2">
      <c r="A26" t="s">
        <v>122</v>
      </c>
      <c r="B26" s="14">
        <v>1100</v>
      </c>
      <c r="C26" s="14">
        <v>710</v>
      </c>
      <c r="D26" s="14">
        <v>710</v>
      </c>
      <c r="E26" s="14">
        <v>710</v>
      </c>
      <c r="F26" s="57">
        <v>610</v>
      </c>
      <c r="G26" s="42"/>
      <c r="H26" s="42"/>
      <c r="I26" s="14"/>
      <c r="J26" s="14"/>
      <c r="K26" s="14"/>
      <c r="L26" s="14"/>
      <c r="M26" s="14">
        <v>710</v>
      </c>
    </row>
    <row r="27" spans="1:17" x14ac:dyDescent="0.2">
      <c r="A27" s="67" t="s">
        <v>322</v>
      </c>
      <c r="B27" s="14"/>
      <c r="C27" s="14"/>
      <c r="D27" s="14"/>
      <c r="E27" s="14"/>
      <c r="F27" s="14"/>
      <c r="G27" s="42"/>
      <c r="H27" s="42"/>
      <c r="I27" s="42"/>
      <c r="J27" s="42"/>
      <c r="K27" s="42"/>
      <c r="L27" s="42"/>
      <c r="M27" s="14">
        <v>300</v>
      </c>
    </row>
    <row r="28" spans="1:17" x14ac:dyDescent="0.2">
      <c r="A28" s="67" t="s">
        <v>249</v>
      </c>
      <c r="B28" s="14"/>
      <c r="C28" s="14">
        <v>90</v>
      </c>
      <c r="D28" s="14">
        <v>90</v>
      </c>
      <c r="E28" s="14">
        <v>90</v>
      </c>
      <c r="F28" s="14">
        <v>90</v>
      </c>
      <c r="G28" s="42"/>
      <c r="H28" s="42"/>
      <c r="I28" s="42"/>
      <c r="J28" s="42"/>
      <c r="K28" s="42"/>
      <c r="L28" s="42"/>
      <c r="M28" s="14">
        <v>90</v>
      </c>
    </row>
    <row r="29" spans="1:17" x14ac:dyDescent="0.2">
      <c r="A29" s="67" t="s">
        <v>129</v>
      </c>
      <c r="B29" s="14">
        <v>500</v>
      </c>
      <c r="C29" s="14">
        <v>400</v>
      </c>
      <c r="D29" s="14">
        <v>400</v>
      </c>
      <c r="E29" s="76">
        <v>400</v>
      </c>
      <c r="F29" s="57">
        <v>350</v>
      </c>
      <c r="G29" s="58"/>
      <c r="H29" s="58"/>
      <c r="I29" s="58"/>
      <c r="J29" s="59"/>
      <c r="K29" s="59"/>
      <c r="L29" s="60"/>
      <c r="M29" s="14">
        <v>400</v>
      </c>
    </row>
    <row r="30" spans="1:17" x14ac:dyDescent="0.2">
      <c r="A30" s="1" t="s">
        <v>7</v>
      </c>
      <c r="B30" s="24">
        <f>SUM(B8:B29)</f>
        <v>6206</v>
      </c>
      <c r="C30" s="24">
        <f>SUM(C8:C29)</f>
        <v>6281</v>
      </c>
      <c r="D30" s="24">
        <f>SUM(D8:D29)</f>
        <v>7072</v>
      </c>
      <c r="E30" s="24">
        <f>SUM(E8:E29)</f>
        <v>7072</v>
      </c>
      <c r="F30" s="24">
        <f>SUM(F8:F29)</f>
        <v>6722</v>
      </c>
      <c r="G30" s="24">
        <f t="shared" ref="G30:L30" si="1">SUM(G8:G25)</f>
        <v>6496</v>
      </c>
      <c r="H30" s="24">
        <f t="shared" si="1"/>
        <v>6146</v>
      </c>
      <c r="I30" s="24">
        <f t="shared" si="1"/>
        <v>5759</v>
      </c>
      <c r="J30" s="24">
        <f t="shared" si="1"/>
        <v>6496</v>
      </c>
      <c r="K30" s="24">
        <f t="shared" si="1"/>
        <v>6146</v>
      </c>
      <c r="L30" s="24">
        <f t="shared" si="1"/>
        <v>5759</v>
      </c>
      <c r="M30" s="24">
        <f>SUM(M8:M29)</f>
        <v>7407</v>
      </c>
    </row>
    <row r="31" spans="1:17" s="3" customFormat="1" ht="18.75" thickBot="1" x14ac:dyDescent="0.3">
      <c r="A31" s="12" t="s">
        <v>16</v>
      </c>
      <c r="B31" s="25">
        <f t="shared" ref="B31:L31" si="2">B7-B30</f>
        <v>1374</v>
      </c>
      <c r="C31" s="25">
        <f t="shared" si="2"/>
        <v>1587</v>
      </c>
      <c r="D31" s="25">
        <f t="shared" si="2"/>
        <v>1446</v>
      </c>
      <c r="E31" s="25">
        <f t="shared" si="2"/>
        <v>1446</v>
      </c>
      <c r="F31" s="26">
        <f t="shared" si="2"/>
        <v>1096</v>
      </c>
      <c r="G31" s="41">
        <f t="shared" si="2"/>
        <v>894</v>
      </c>
      <c r="H31" s="47">
        <f t="shared" si="2"/>
        <v>1244</v>
      </c>
      <c r="I31" s="27">
        <f t="shared" si="2"/>
        <v>1631</v>
      </c>
      <c r="J31" s="28">
        <f t="shared" si="2"/>
        <v>294</v>
      </c>
      <c r="K31" s="29">
        <f t="shared" si="2"/>
        <v>644</v>
      </c>
      <c r="L31" s="27">
        <f t="shared" si="2"/>
        <v>1031</v>
      </c>
      <c r="M31" s="25">
        <f t="shared" ref="M31" si="3">M7-M30</f>
        <v>1111</v>
      </c>
      <c r="N31" s="55"/>
    </row>
    <row r="32" spans="1:17" x14ac:dyDescent="0.2">
      <c r="A32" t="s">
        <v>279</v>
      </c>
      <c r="B32" s="14">
        <v>1000</v>
      </c>
      <c r="C32" s="14">
        <f>$B$67</f>
        <v>825</v>
      </c>
      <c r="D32" s="14">
        <f>$B$67</f>
        <v>825</v>
      </c>
      <c r="E32" s="14">
        <f>$C$67</f>
        <v>504.16666666666669</v>
      </c>
      <c r="F32" s="14">
        <f>$C$67</f>
        <v>504.16666666666669</v>
      </c>
      <c r="G32" s="42">
        <v>1000</v>
      </c>
      <c r="H32" s="48">
        <v>1000</v>
      </c>
      <c r="I32" s="14">
        <v>1000</v>
      </c>
      <c r="J32" s="14">
        <v>1000</v>
      </c>
      <c r="K32" s="14">
        <v>1000</v>
      </c>
      <c r="L32" s="14">
        <v>1000</v>
      </c>
      <c r="M32" s="14">
        <f>$C$67</f>
        <v>504.16666666666669</v>
      </c>
    </row>
    <row r="33" spans="1:21" x14ac:dyDescent="0.2">
      <c r="A33" s="67" t="s">
        <v>34</v>
      </c>
      <c r="B33" s="14">
        <v>225</v>
      </c>
      <c r="C33" s="14">
        <v>175</v>
      </c>
      <c r="D33" s="80">
        <v>175</v>
      </c>
      <c r="E33" s="14">
        <v>175</v>
      </c>
      <c r="F33" s="57">
        <v>175</v>
      </c>
      <c r="G33" s="39">
        <v>270</v>
      </c>
      <c r="H33" s="44">
        <v>270</v>
      </c>
      <c r="I33" s="16">
        <v>270</v>
      </c>
      <c r="J33" s="17">
        <v>270</v>
      </c>
      <c r="K33" s="17">
        <v>270</v>
      </c>
      <c r="L33" s="17">
        <v>270</v>
      </c>
      <c r="M33" s="80">
        <v>175</v>
      </c>
    </row>
    <row r="34" spans="1:21" s="3" customFormat="1" ht="18.75" thickBot="1" x14ac:dyDescent="0.3">
      <c r="A34" s="12" t="s">
        <v>41</v>
      </c>
      <c r="B34" s="25">
        <f>B31+B32-B33</f>
        <v>2149</v>
      </c>
      <c r="C34" s="25">
        <f>C31+C32-C33</f>
        <v>2237</v>
      </c>
      <c r="D34" s="25">
        <f>D31+D32-D33</f>
        <v>2096</v>
      </c>
      <c r="E34" s="25">
        <f t="shared" ref="E34:F34" si="4">E31+E32-E33</f>
        <v>1775.1666666666667</v>
      </c>
      <c r="F34" s="25">
        <f t="shared" si="4"/>
        <v>1425.1666666666667</v>
      </c>
      <c r="G34" s="25">
        <f t="shared" ref="G34:L34" si="5">G31+G32</f>
        <v>1894</v>
      </c>
      <c r="H34" s="25">
        <f t="shared" si="5"/>
        <v>2244</v>
      </c>
      <c r="I34" s="25">
        <f t="shared" si="5"/>
        <v>2631</v>
      </c>
      <c r="J34" s="25">
        <f t="shared" si="5"/>
        <v>1294</v>
      </c>
      <c r="K34" s="25">
        <f t="shared" si="5"/>
        <v>1644</v>
      </c>
      <c r="L34" s="25">
        <f t="shared" si="5"/>
        <v>2031</v>
      </c>
      <c r="M34" s="25">
        <f>M31+M32-M33</f>
        <v>1440.1666666666667</v>
      </c>
      <c r="N34" s="55"/>
    </row>
    <row r="35" spans="1:21" x14ac:dyDescent="0.2">
      <c r="A35" s="37" t="s">
        <v>128</v>
      </c>
      <c r="B35" s="75">
        <f>B34*12</f>
        <v>25788</v>
      </c>
      <c r="C35" s="75">
        <f>C34*12</f>
        <v>26844</v>
      </c>
      <c r="D35" s="75">
        <f>D34*12</f>
        <v>25152</v>
      </c>
      <c r="E35" s="75">
        <f>E34*12</f>
        <v>21302</v>
      </c>
      <c r="F35" s="75">
        <f>F34*12</f>
        <v>17102</v>
      </c>
      <c r="G35" s="37"/>
      <c r="H35" s="37"/>
      <c r="I35" s="37"/>
      <c r="J35" s="37"/>
      <c r="K35" s="37"/>
      <c r="L35" s="37"/>
      <c r="M35" s="75">
        <f>M34*12</f>
        <v>17282</v>
      </c>
    </row>
    <row r="36" spans="1:21" x14ac:dyDescent="0.2">
      <c r="A36" s="37" t="s">
        <v>127</v>
      </c>
      <c r="B36" s="75">
        <f>B35+$B$61</f>
        <v>30788</v>
      </c>
      <c r="C36" s="75">
        <f t="shared" ref="C36:F36" si="6">C35+$B$61</f>
        <v>31844</v>
      </c>
      <c r="D36" s="75">
        <f t="shared" si="6"/>
        <v>30152</v>
      </c>
      <c r="E36" s="75">
        <f t="shared" si="6"/>
        <v>26302</v>
      </c>
      <c r="F36" s="75">
        <f t="shared" si="6"/>
        <v>22102</v>
      </c>
      <c r="G36" s="37"/>
      <c r="H36" s="37"/>
      <c r="I36" s="37"/>
      <c r="J36" s="37"/>
      <c r="K36" s="37"/>
      <c r="L36" s="37"/>
      <c r="M36" s="75">
        <f t="shared" ref="M36" si="7">M35+$B$61</f>
        <v>22282</v>
      </c>
    </row>
    <row r="37" spans="1:21" s="5" customFormat="1" ht="6.95" customHeight="1" x14ac:dyDescent="0.2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9" spans="1:21" x14ac:dyDescent="0.2">
      <c r="A39" s="13" t="s">
        <v>57</v>
      </c>
      <c r="B39" s="31">
        <f>B7*12</f>
        <v>90960</v>
      </c>
      <c r="C39" s="31">
        <f t="shared" ref="C39:L39" si="8">C7*12</f>
        <v>94416</v>
      </c>
      <c r="D39" s="31">
        <f>D7*12</f>
        <v>102216</v>
      </c>
      <c r="E39" s="31">
        <f t="shared" si="8"/>
        <v>102216</v>
      </c>
      <c r="F39" s="31">
        <f t="shared" si="8"/>
        <v>93816</v>
      </c>
      <c r="G39" s="31">
        <f t="shared" si="8"/>
        <v>88680</v>
      </c>
      <c r="H39" s="50">
        <f t="shared" si="8"/>
        <v>88680</v>
      </c>
      <c r="I39" s="31">
        <f t="shared" si="8"/>
        <v>88680</v>
      </c>
      <c r="J39" s="31">
        <f t="shared" si="8"/>
        <v>81480</v>
      </c>
      <c r="K39" s="31">
        <f t="shared" si="8"/>
        <v>81480</v>
      </c>
      <c r="L39" s="31">
        <f t="shared" si="8"/>
        <v>81480</v>
      </c>
      <c r="M39" s="31">
        <f>M7*12</f>
        <v>102216</v>
      </c>
    </row>
    <row r="40" spans="1:21" x14ac:dyDescent="0.2">
      <c r="A40" s="4" t="s">
        <v>58</v>
      </c>
      <c r="B40" s="32">
        <f>B30*12+B33*12</f>
        <v>77172</v>
      </c>
      <c r="C40" s="32">
        <f>C30*12+C33*12</f>
        <v>77472</v>
      </c>
      <c r="D40" s="32">
        <f>D30*12+D33*12</f>
        <v>86964</v>
      </c>
      <c r="E40" s="32">
        <f>E30*12+E33*12</f>
        <v>86964</v>
      </c>
      <c r="F40" s="32">
        <f t="shared" ref="F40" si="9">F30*12+F33*12</f>
        <v>82764</v>
      </c>
      <c r="G40" s="32">
        <f t="shared" ref="G40:L40" si="10">G30*12</f>
        <v>77952</v>
      </c>
      <c r="H40" s="51">
        <f t="shared" si="10"/>
        <v>73752</v>
      </c>
      <c r="I40" s="32">
        <f t="shared" si="10"/>
        <v>69108</v>
      </c>
      <c r="J40" s="32">
        <f t="shared" si="10"/>
        <v>77952</v>
      </c>
      <c r="K40" s="32">
        <f t="shared" si="10"/>
        <v>73752</v>
      </c>
      <c r="L40" s="32">
        <f t="shared" si="10"/>
        <v>69108</v>
      </c>
      <c r="M40" s="32">
        <f>M30*12+M33*12</f>
        <v>90984</v>
      </c>
      <c r="Q40" s="30">
        <f>E40-(E26*12+E5*12)</f>
        <v>70644</v>
      </c>
    </row>
    <row r="41" spans="1:21" ht="18.75" thickBot="1" x14ac:dyDescent="0.3">
      <c r="A41" s="12" t="s">
        <v>59</v>
      </c>
      <c r="B41" s="25">
        <f t="shared" ref="B41:L41" si="11">B39-B40</f>
        <v>13788</v>
      </c>
      <c r="C41" s="25">
        <f>C39-C40</f>
        <v>16944</v>
      </c>
      <c r="D41" s="25">
        <f t="shared" si="11"/>
        <v>15252</v>
      </c>
      <c r="E41" s="25">
        <f t="shared" si="11"/>
        <v>15252</v>
      </c>
      <c r="F41" s="26">
        <f t="shared" si="11"/>
        <v>11052</v>
      </c>
      <c r="G41" s="41">
        <f t="shared" si="11"/>
        <v>10728</v>
      </c>
      <c r="H41" s="47">
        <f t="shared" si="11"/>
        <v>14928</v>
      </c>
      <c r="I41" s="27">
        <f t="shared" si="11"/>
        <v>19572</v>
      </c>
      <c r="J41" s="28">
        <f t="shared" si="11"/>
        <v>3528</v>
      </c>
      <c r="K41" s="29">
        <f t="shared" si="11"/>
        <v>7728</v>
      </c>
      <c r="L41" s="27">
        <f t="shared" si="11"/>
        <v>12372</v>
      </c>
      <c r="M41" s="25">
        <f t="shared" ref="M41" si="12">M39-M40</f>
        <v>11232</v>
      </c>
    </row>
    <row r="42" spans="1:21" x14ac:dyDescent="0.2">
      <c r="A42" t="s">
        <v>130</v>
      </c>
      <c r="B42" s="30">
        <v>10000</v>
      </c>
      <c r="C42" s="30">
        <v>10000</v>
      </c>
      <c r="D42" s="30">
        <v>10000</v>
      </c>
      <c r="E42" s="30">
        <f>$C$66</f>
        <v>6050</v>
      </c>
      <c r="F42" s="30">
        <f>$C$66</f>
        <v>6050</v>
      </c>
      <c r="G42" s="30">
        <f t="shared" ref="G42:L42" si="13">F42</f>
        <v>6050</v>
      </c>
      <c r="H42" s="49">
        <f t="shared" si="13"/>
        <v>6050</v>
      </c>
      <c r="I42" s="30">
        <f t="shared" si="13"/>
        <v>6050</v>
      </c>
      <c r="J42" s="30">
        <f t="shared" si="13"/>
        <v>6050</v>
      </c>
      <c r="K42" s="30">
        <f t="shared" si="13"/>
        <v>6050</v>
      </c>
      <c r="L42" s="30">
        <f t="shared" si="13"/>
        <v>6050</v>
      </c>
      <c r="M42" s="30">
        <f>$C$66</f>
        <v>6050</v>
      </c>
    </row>
    <row r="43" spans="1:21" x14ac:dyDescent="0.2">
      <c r="A43" t="s">
        <v>232</v>
      </c>
      <c r="B43" s="30">
        <v>1500</v>
      </c>
      <c r="C43" s="30">
        <v>2000</v>
      </c>
      <c r="D43" s="30">
        <v>3000</v>
      </c>
      <c r="E43" s="30">
        <v>3000</v>
      </c>
      <c r="F43" s="30">
        <v>3000</v>
      </c>
      <c r="G43" s="30"/>
      <c r="H43" s="49"/>
      <c r="I43" s="30"/>
      <c r="J43" s="30"/>
      <c r="K43" s="30"/>
      <c r="L43" s="30"/>
      <c r="M43" s="30">
        <v>3000</v>
      </c>
    </row>
    <row r="44" spans="1:21" x14ac:dyDescent="0.2">
      <c r="A44" t="s">
        <v>267</v>
      </c>
      <c r="B44" s="30">
        <v>800</v>
      </c>
      <c r="C44" s="30">
        <v>800</v>
      </c>
      <c r="D44" s="30">
        <v>800</v>
      </c>
      <c r="E44" s="30">
        <v>400</v>
      </c>
      <c r="F44" s="30">
        <v>400</v>
      </c>
      <c r="G44" s="30"/>
      <c r="H44" s="49"/>
      <c r="I44" s="30"/>
      <c r="J44" s="30"/>
      <c r="K44" s="30"/>
      <c r="L44" s="30"/>
      <c r="M44" s="30">
        <v>400</v>
      </c>
      <c r="T44" t="s">
        <v>268</v>
      </c>
      <c r="U44" t="s">
        <v>40</v>
      </c>
    </row>
    <row r="45" spans="1:21" ht="26.25" thickBot="1" x14ac:dyDescent="0.4">
      <c r="A45" s="79" t="s">
        <v>60</v>
      </c>
      <c r="B45" s="69">
        <f>SUM(B41:B44)</f>
        <v>26088</v>
      </c>
      <c r="C45" s="69">
        <f>SUM(C41:C44)</f>
        <v>29744</v>
      </c>
      <c r="D45" s="69">
        <f>SUM(D41:D44)</f>
        <v>29052</v>
      </c>
      <c r="E45" s="69">
        <f>SUM(E41:E44)</f>
        <v>24702</v>
      </c>
      <c r="F45" s="69">
        <f>SUM(F41:F44)</f>
        <v>20502</v>
      </c>
      <c r="G45" s="70">
        <f t="shared" ref="G45:L45" si="14">SUM(G41:G42)</f>
        <v>16778</v>
      </c>
      <c r="H45" s="71">
        <f t="shared" si="14"/>
        <v>20978</v>
      </c>
      <c r="I45" s="72">
        <f t="shared" si="14"/>
        <v>25622</v>
      </c>
      <c r="J45" s="73">
        <f t="shared" si="14"/>
        <v>9578</v>
      </c>
      <c r="K45" s="72">
        <f t="shared" si="14"/>
        <v>13778</v>
      </c>
      <c r="L45" s="72">
        <f t="shared" si="14"/>
        <v>18422</v>
      </c>
      <c r="M45" s="69">
        <f>SUM(M41:M44)</f>
        <v>20682</v>
      </c>
      <c r="N45" s="74"/>
      <c r="S45" t="s">
        <v>269</v>
      </c>
      <c r="T45">
        <f>750*12</f>
        <v>9000</v>
      </c>
      <c r="U45">
        <v>102216</v>
      </c>
    </row>
    <row r="46" spans="1:21" hidden="1" x14ac:dyDescent="0.2">
      <c r="A46" s="77" t="s">
        <v>123</v>
      </c>
      <c r="B46" s="142">
        <f>B26*12</f>
        <v>13200</v>
      </c>
      <c r="C46" s="142">
        <f>C26*12</f>
        <v>8520</v>
      </c>
      <c r="D46" s="142">
        <f>D26*12</f>
        <v>8520</v>
      </c>
      <c r="E46" s="142">
        <f>E26*12</f>
        <v>8520</v>
      </c>
      <c r="F46" s="142">
        <f>F26*12</f>
        <v>7320</v>
      </c>
      <c r="G46" s="30">
        <v>3500</v>
      </c>
      <c r="H46" s="49">
        <v>3000</v>
      </c>
      <c r="I46" s="30">
        <v>2000</v>
      </c>
      <c r="J46" s="30">
        <v>3500</v>
      </c>
      <c r="K46" s="30">
        <v>3000</v>
      </c>
      <c r="L46" s="30">
        <v>2000</v>
      </c>
      <c r="M46" s="142">
        <f>M26*12</f>
        <v>8520</v>
      </c>
    </row>
    <row r="47" spans="1:21" x14ac:dyDescent="0.2">
      <c r="A47" s="4" t="s">
        <v>22</v>
      </c>
      <c r="B47" s="32">
        <v>7000</v>
      </c>
      <c r="C47" s="32">
        <v>7000</v>
      </c>
      <c r="D47" s="32">
        <v>7000</v>
      </c>
      <c r="E47" s="32">
        <v>7000</v>
      </c>
      <c r="F47" s="32">
        <v>5500</v>
      </c>
      <c r="G47" s="30"/>
      <c r="H47" s="49"/>
      <c r="I47" s="30"/>
      <c r="J47" s="30"/>
      <c r="K47" s="30"/>
      <c r="L47" s="30"/>
      <c r="M47" s="32">
        <v>7000</v>
      </c>
      <c r="S47" t="s">
        <v>270</v>
      </c>
      <c r="T47">
        <v>10000</v>
      </c>
      <c r="U47">
        <v>10000</v>
      </c>
    </row>
    <row r="48" spans="1:21" x14ac:dyDescent="0.2">
      <c r="A48" s="4" t="s">
        <v>119</v>
      </c>
      <c r="B48" s="32">
        <v>2000</v>
      </c>
      <c r="C48" s="32">
        <v>2000</v>
      </c>
      <c r="D48" s="32">
        <v>2000</v>
      </c>
      <c r="E48" s="32">
        <v>2000</v>
      </c>
      <c r="F48" s="32">
        <v>1500</v>
      </c>
      <c r="G48" s="30"/>
      <c r="H48" s="49"/>
      <c r="I48" s="30"/>
      <c r="J48" s="30"/>
      <c r="K48" s="30"/>
      <c r="L48" s="30"/>
      <c r="M48" s="32">
        <v>2000</v>
      </c>
      <c r="S48" t="s">
        <v>64</v>
      </c>
      <c r="T48">
        <f>710*12</f>
        <v>8520</v>
      </c>
      <c r="U48">
        <v>5000</v>
      </c>
    </row>
    <row r="49" spans="1:21" ht="26.25" thickBot="1" x14ac:dyDescent="0.4">
      <c r="A49" s="78" t="s">
        <v>132</v>
      </c>
      <c r="B49" s="69">
        <f>B45-B47-B48</f>
        <v>17088</v>
      </c>
      <c r="C49" s="69">
        <f t="shared" ref="C49:F49" si="15">C45-C47-C48</f>
        <v>20744</v>
      </c>
      <c r="D49" s="69">
        <f t="shared" si="15"/>
        <v>20052</v>
      </c>
      <c r="E49" s="69">
        <f t="shared" si="15"/>
        <v>15702</v>
      </c>
      <c r="F49" s="69">
        <f t="shared" si="15"/>
        <v>13502</v>
      </c>
      <c r="G49" s="30"/>
      <c r="H49" s="49"/>
      <c r="I49" s="30"/>
      <c r="J49" s="30"/>
      <c r="K49" s="30"/>
      <c r="L49" s="30"/>
      <c r="M49" s="69">
        <f t="shared" ref="M49" si="16">M45-M47-M48</f>
        <v>11682</v>
      </c>
      <c r="S49" t="s">
        <v>41</v>
      </c>
      <c r="T49">
        <v>14000</v>
      </c>
      <c r="U49">
        <v>2500</v>
      </c>
    </row>
    <row r="50" spans="1:21" x14ac:dyDescent="0.2">
      <c r="A50" s="77" t="s">
        <v>124</v>
      </c>
      <c r="B50" s="143"/>
      <c r="C50" s="143">
        <v>10000</v>
      </c>
      <c r="D50" s="143">
        <v>10000</v>
      </c>
      <c r="E50" s="143">
        <v>8000</v>
      </c>
      <c r="F50" s="143">
        <v>8000</v>
      </c>
      <c r="G50" s="30"/>
      <c r="H50" s="49"/>
      <c r="I50" s="30"/>
      <c r="J50" s="30"/>
      <c r="K50" s="30"/>
      <c r="L50" s="30"/>
      <c r="M50" s="143">
        <v>8000</v>
      </c>
      <c r="S50" t="s">
        <v>27</v>
      </c>
      <c r="T50">
        <f>SUM(T45:T49)</f>
        <v>41520</v>
      </c>
      <c r="U50">
        <f>SUM(U45:U49)</f>
        <v>119716</v>
      </c>
    </row>
    <row r="51" spans="1:21" ht="23.25" thickBot="1" x14ac:dyDescent="0.35">
      <c r="A51" s="78" t="s">
        <v>125</v>
      </c>
      <c r="B51" s="33">
        <f>B49-B50</f>
        <v>17088</v>
      </c>
      <c r="C51" s="33">
        <f>C49-C50</f>
        <v>10744</v>
      </c>
      <c r="D51" s="33">
        <f>D49-D50</f>
        <v>10052</v>
      </c>
      <c r="E51" s="33">
        <f>E49-E50</f>
        <v>7702</v>
      </c>
      <c r="F51" s="33">
        <f>F49-F50</f>
        <v>5502</v>
      </c>
      <c r="G51" s="34">
        <f t="shared" ref="G51:L51" si="17">G45-G50-G46</f>
        <v>13278</v>
      </c>
      <c r="H51" s="52">
        <f t="shared" si="17"/>
        <v>17978</v>
      </c>
      <c r="I51" s="33">
        <f t="shared" si="17"/>
        <v>23622</v>
      </c>
      <c r="J51" s="35">
        <f t="shared" si="17"/>
        <v>6078</v>
      </c>
      <c r="K51" s="34">
        <f t="shared" si="17"/>
        <v>10778</v>
      </c>
      <c r="L51" s="33">
        <f t="shared" si="17"/>
        <v>16422</v>
      </c>
      <c r="M51" s="33">
        <f>M49-M50</f>
        <v>3682</v>
      </c>
      <c r="U51" s="63">
        <f>T50/U50</f>
        <v>0.34682080924855491</v>
      </c>
    </row>
    <row r="52" spans="1:21" ht="23.25" thickBot="1" x14ac:dyDescent="0.35">
      <c r="A52" s="78" t="s">
        <v>131</v>
      </c>
      <c r="B52" s="33">
        <f>B51/12</f>
        <v>1424</v>
      </c>
      <c r="C52" s="33">
        <f>C51/12</f>
        <v>895.33333333333337</v>
      </c>
      <c r="D52" s="33">
        <f>D51/12</f>
        <v>837.66666666666663</v>
      </c>
      <c r="E52" s="33">
        <f>E51/12</f>
        <v>641.83333333333337</v>
      </c>
      <c r="F52" s="33">
        <f>F51/12</f>
        <v>458.5</v>
      </c>
      <c r="G52" s="34"/>
      <c r="H52" s="52"/>
      <c r="I52" s="33"/>
      <c r="J52" s="35"/>
      <c r="K52" s="34"/>
      <c r="L52" s="33"/>
      <c r="M52" s="33">
        <f>M51/12</f>
        <v>306.83333333333331</v>
      </c>
    </row>
    <row r="53" spans="1:21" ht="23.25" thickBot="1" x14ac:dyDescent="0.35">
      <c r="A53" t="s">
        <v>126</v>
      </c>
      <c r="B53" s="68">
        <f>B51+B61</f>
        <v>22088</v>
      </c>
      <c r="C53" s="68">
        <f>C51+B61</f>
        <v>15744</v>
      </c>
      <c r="D53" s="68">
        <f>D51+B61</f>
        <v>15052</v>
      </c>
      <c r="E53" s="68">
        <f>E51+C61</f>
        <v>8202</v>
      </c>
      <c r="F53" s="68">
        <f>F51+C61</f>
        <v>6002</v>
      </c>
      <c r="G53" s="31">
        <f t="shared" ref="G53:L53" si="18">G51+4000</f>
        <v>17278</v>
      </c>
      <c r="H53" s="53">
        <f t="shared" si="18"/>
        <v>21978</v>
      </c>
      <c r="I53" s="31">
        <f t="shared" si="18"/>
        <v>27622</v>
      </c>
      <c r="J53" s="36">
        <f t="shared" si="18"/>
        <v>10078</v>
      </c>
      <c r="K53" s="36">
        <f t="shared" si="18"/>
        <v>14778</v>
      </c>
      <c r="L53" s="31">
        <f t="shared" si="18"/>
        <v>20422</v>
      </c>
      <c r="M53" s="68">
        <f>M51+B61</f>
        <v>8682</v>
      </c>
    </row>
    <row r="54" spans="1:21" ht="4.5" customHeight="1" x14ac:dyDescent="0.3">
      <c r="A54" s="5"/>
      <c r="B54" s="232"/>
      <c r="C54" s="232"/>
      <c r="D54" s="232"/>
      <c r="E54" s="232"/>
      <c r="F54" s="232"/>
      <c r="G54" s="31"/>
      <c r="H54" s="31"/>
      <c r="I54" s="31"/>
      <c r="J54" s="36"/>
      <c r="K54" s="36"/>
      <c r="L54" s="31"/>
      <c r="M54" s="232"/>
    </row>
    <row r="55" spans="1:21" ht="22.5" x14ac:dyDescent="0.3">
      <c r="A55" s="176" t="s">
        <v>318</v>
      </c>
      <c r="B55" s="33">
        <f>SUM(B39,B42,B43,B44,B61)</f>
        <v>108260</v>
      </c>
      <c r="C55" s="33">
        <f>SUM(C39,C42,C43,C44,B61)</f>
        <v>112216</v>
      </c>
      <c r="D55" s="33">
        <f>SUM(D39,D42,D43,D44,B61)</f>
        <v>121016</v>
      </c>
      <c r="E55" s="33">
        <f>SUM(E39,E42,E43,E44,C61)</f>
        <v>112166</v>
      </c>
      <c r="F55" s="33">
        <f>SUM(F39,F42,F43,F44,C61)</f>
        <v>103766</v>
      </c>
      <c r="G55" s="31"/>
      <c r="H55" s="31"/>
      <c r="I55" s="31"/>
      <c r="J55" s="36"/>
      <c r="K55" s="36"/>
      <c r="L55" s="31"/>
      <c r="M55" s="33">
        <f>SUM(M39,M42,M43,M44,B61)</f>
        <v>116666</v>
      </c>
    </row>
    <row r="56" spans="1:21" ht="22.5" x14ac:dyDescent="0.3">
      <c r="A56" s="176" t="s">
        <v>319</v>
      </c>
      <c r="B56" s="233">
        <f>SUM(B40,B47,B48)-B26*12</f>
        <v>72972</v>
      </c>
      <c r="C56" s="233">
        <f>SUM(C40,C47,C48)-C26*12</f>
        <v>77952</v>
      </c>
      <c r="D56" s="233">
        <f t="shared" ref="D56:F56" si="19">SUM(D40,D47,D48)-D26*12</f>
        <v>87444</v>
      </c>
      <c r="E56" s="233">
        <f t="shared" si="19"/>
        <v>87444</v>
      </c>
      <c r="F56" s="233">
        <f t="shared" si="19"/>
        <v>82444</v>
      </c>
      <c r="G56" s="31"/>
      <c r="H56" s="31"/>
      <c r="I56" s="31"/>
      <c r="J56" s="36"/>
      <c r="K56" s="36"/>
      <c r="L56" s="31"/>
      <c r="M56" s="233">
        <f t="shared" ref="M56" si="20">SUM(M40,M47,M48)-M26*12</f>
        <v>91464</v>
      </c>
    </row>
    <row r="57" spans="1:21" ht="22.5" x14ac:dyDescent="0.3">
      <c r="A57" s="176" t="s">
        <v>317</v>
      </c>
      <c r="B57" s="33">
        <f>SUM(B26*12+B53)</f>
        <v>35288</v>
      </c>
      <c r="C57" s="33">
        <f>SUM(C26*12+C53+C50)</f>
        <v>34264</v>
      </c>
      <c r="D57" s="33">
        <f>SUM(D26*12+D53+D50+7000)</f>
        <v>40572</v>
      </c>
      <c r="E57" s="33">
        <f>SUM(E26*12+E53+E50+7000)</f>
        <v>31722</v>
      </c>
      <c r="F57" s="33">
        <f>SUM(F26*12+F53+F50+7000)</f>
        <v>28322</v>
      </c>
      <c r="G57" s="31"/>
      <c r="H57" s="31"/>
      <c r="I57" s="31"/>
      <c r="J57" s="36"/>
      <c r="K57" s="36"/>
      <c r="L57" s="31"/>
      <c r="M57" s="33">
        <f>SUM(M26*12+M53+M50+7000+M27*12)</f>
        <v>35802</v>
      </c>
    </row>
    <row r="58" spans="1:21" ht="22.5" x14ac:dyDescent="0.3">
      <c r="A58" s="176" t="s">
        <v>265</v>
      </c>
      <c r="B58" s="259">
        <f>B57/B55</f>
        <v>0.32595603177535565</v>
      </c>
      <c r="C58" s="259">
        <f>C57/C55</f>
        <v>0.30533970200327937</v>
      </c>
      <c r="D58" s="259">
        <f>D57/D55</f>
        <v>0.33526145303100419</v>
      </c>
      <c r="E58" s="259">
        <f>E57/E55</f>
        <v>0.28281297362837221</v>
      </c>
      <c r="F58" s="259">
        <f>F57/F55</f>
        <v>0.27294104041786327</v>
      </c>
      <c r="G58" s="260"/>
      <c r="H58" s="260"/>
      <c r="I58" s="260"/>
      <c r="J58" s="261"/>
      <c r="K58" s="261"/>
      <c r="L58" s="260"/>
      <c r="M58" s="259">
        <f>M57/M55</f>
        <v>0.30687603929165308</v>
      </c>
    </row>
    <row r="59" spans="1:21" s="5" customFormat="1" ht="5.0999999999999996" customHeight="1" x14ac:dyDescent="0.2"/>
    <row r="60" spans="1:21" x14ac:dyDescent="0.2">
      <c r="A60" t="s">
        <v>64</v>
      </c>
      <c r="B60" s="30"/>
      <c r="F60" s="61"/>
    </row>
    <row r="61" spans="1:21" x14ac:dyDescent="0.2">
      <c r="A61" t="s">
        <v>56</v>
      </c>
      <c r="B61" s="77">
        <v>5000</v>
      </c>
      <c r="C61" s="77">
        <v>500</v>
      </c>
      <c r="E61" s="30"/>
    </row>
    <row r="62" spans="1:21" x14ac:dyDescent="0.2">
      <c r="A62" t="s">
        <v>22</v>
      </c>
      <c r="B62">
        <v>4000</v>
      </c>
      <c r="C62">
        <v>4100</v>
      </c>
    </row>
    <row r="63" spans="1:21" x14ac:dyDescent="0.2">
      <c r="A63" t="s">
        <v>23</v>
      </c>
      <c r="B63">
        <v>4250</v>
      </c>
      <c r="C63">
        <v>300</v>
      </c>
    </row>
    <row r="64" spans="1:21" x14ac:dyDescent="0.2">
      <c r="A64" t="s">
        <v>24</v>
      </c>
      <c r="B64">
        <v>650</v>
      </c>
      <c r="C64">
        <v>650</v>
      </c>
    </row>
    <row r="65" spans="1:17" x14ac:dyDescent="0.2">
      <c r="A65" t="s">
        <v>25</v>
      </c>
      <c r="B65">
        <v>1000</v>
      </c>
      <c r="C65">
        <v>1000</v>
      </c>
    </row>
    <row r="66" spans="1:17" x14ac:dyDescent="0.2">
      <c r="A66" s="3" t="s">
        <v>27</v>
      </c>
      <c r="B66" s="3">
        <f>SUM(B62:B65)</f>
        <v>9900</v>
      </c>
      <c r="C66" s="3">
        <f>SUM(C62:C65)</f>
        <v>6050</v>
      </c>
    </row>
    <row r="67" spans="1:17" x14ac:dyDescent="0.2">
      <c r="A67" s="3" t="s">
        <v>26</v>
      </c>
      <c r="B67" s="6">
        <f>B66/12</f>
        <v>825</v>
      </c>
      <c r="C67" s="6">
        <f>C66/12</f>
        <v>504.16666666666669</v>
      </c>
      <c r="D67" s="6"/>
      <c r="E67" s="6"/>
    </row>
    <row r="69" spans="1:17" ht="2.2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O69" s="5"/>
      <c r="P69" s="5"/>
      <c r="Q69" s="5"/>
    </row>
    <row r="71" spans="1:17" x14ac:dyDescent="0.2">
      <c r="B71" s="3" t="s">
        <v>43</v>
      </c>
      <c r="C71" s="3"/>
      <c r="D71" s="3" t="s">
        <v>43</v>
      </c>
      <c r="E71" s="3"/>
      <c r="F71" s="3"/>
      <c r="G71" s="3" t="s">
        <v>44</v>
      </c>
      <c r="H71" s="3"/>
      <c r="I71" s="3" t="s">
        <v>45</v>
      </c>
    </row>
    <row r="73" spans="1:17" x14ac:dyDescent="0.2">
      <c r="A73" t="s">
        <v>29</v>
      </c>
      <c r="B73">
        <v>1580</v>
      </c>
      <c r="D73">
        <v>3000</v>
      </c>
      <c r="G73" s="4">
        <v>3580</v>
      </c>
      <c r="I73">
        <v>3580</v>
      </c>
    </row>
    <row r="74" spans="1:17" x14ac:dyDescent="0.2">
      <c r="A74" t="s">
        <v>30</v>
      </c>
      <c r="B74">
        <v>1000</v>
      </c>
      <c r="D74">
        <v>1000</v>
      </c>
      <c r="G74">
        <v>1000</v>
      </c>
      <c r="I74" s="4">
        <v>700</v>
      </c>
    </row>
    <row r="75" spans="1:17" x14ac:dyDescent="0.2">
      <c r="A75" t="s">
        <v>31</v>
      </c>
      <c r="B75">
        <v>1000</v>
      </c>
      <c r="D75">
        <v>1000</v>
      </c>
      <c r="G75">
        <v>1000</v>
      </c>
      <c r="I75" s="4">
        <v>650</v>
      </c>
    </row>
    <row r="76" spans="1:17" x14ac:dyDescent="0.2">
      <c r="A76" t="s">
        <v>32</v>
      </c>
      <c r="B76">
        <v>950</v>
      </c>
      <c r="D76">
        <v>950</v>
      </c>
      <c r="G76">
        <v>950</v>
      </c>
      <c r="I76">
        <v>950</v>
      </c>
    </row>
    <row r="77" spans="1:17" x14ac:dyDescent="0.2">
      <c r="A77" t="s">
        <v>33</v>
      </c>
      <c r="B77">
        <v>850</v>
      </c>
      <c r="D77">
        <v>850</v>
      </c>
      <c r="G77">
        <v>800</v>
      </c>
      <c r="I77" s="4">
        <v>750</v>
      </c>
    </row>
    <row r="78" spans="1:17" x14ac:dyDescent="0.2">
      <c r="A78" t="s">
        <v>19</v>
      </c>
      <c r="B78">
        <v>500</v>
      </c>
      <c r="D78">
        <v>500</v>
      </c>
      <c r="G78">
        <v>500</v>
      </c>
      <c r="I78">
        <v>500</v>
      </c>
    </row>
    <row r="79" spans="1:17" x14ac:dyDescent="0.2">
      <c r="A79" t="s">
        <v>34</v>
      </c>
      <c r="B79">
        <v>270</v>
      </c>
      <c r="D79">
        <v>270</v>
      </c>
      <c r="G79">
        <v>270</v>
      </c>
      <c r="I79">
        <v>270</v>
      </c>
    </row>
    <row r="80" spans="1:17" x14ac:dyDescent="0.2">
      <c r="A80" t="s">
        <v>35</v>
      </c>
      <c r="B80">
        <v>150</v>
      </c>
      <c r="D80">
        <v>150</v>
      </c>
      <c r="G80">
        <v>150</v>
      </c>
      <c r="I80">
        <v>150</v>
      </c>
    </row>
    <row r="81" spans="1:16" x14ac:dyDescent="0.2">
      <c r="A81" t="s">
        <v>36</v>
      </c>
      <c r="B81">
        <v>100</v>
      </c>
      <c r="D81">
        <v>100</v>
      </c>
      <c r="G81">
        <v>100</v>
      </c>
      <c r="I81">
        <v>100</v>
      </c>
    </row>
    <row r="82" spans="1:16" x14ac:dyDescent="0.2">
      <c r="A82" t="s">
        <v>37</v>
      </c>
      <c r="B82">
        <v>30</v>
      </c>
      <c r="D82">
        <v>30</v>
      </c>
      <c r="G82">
        <v>30</v>
      </c>
      <c r="I82">
        <v>30</v>
      </c>
    </row>
    <row r="83" spans="1:16" x14ac:dyDescent="0.2">
      <c r="A83" s="3" t="s">
        <v>7</v>
      </c>
      <c r="B83" s="3">
        <f>SUM(B73:B82)</f>
        <v>6430</v>
      </c>
      <c r="C83" s="3"/>
      <c r="D83" s="3">
        <f>SUM(D73:D82)</f>
        <v>7850</v>
      </c>
      <c r="E83" s="3"/>
      <c r="G83" s="3">
        <f>SUM(G73:G82)</f>
        <v>8380</v>
      </c>
      <c r="I83" s="3">
        <f>SUM(I73:I82)</f>
        <v>7680</v>
      </c>
    </row>
    <row r="85" spans="1:16" x14ac:dyDescent="0.2">
      <c r="A85" t="s">
        <v>38</v>
      </c>
      <c r="B85">
        <v>7875</v>
      </c>
      <c r="D85">
        <v>7875</v>
      </c>
      <c r="G85">
        <v>7875</v>
      </c>
      <c r="I85">
        <v>7875</v>
      </c>
    </row>
    <row r="86" spans="1:16" x14ac:dyDescent="0.2">
      <c r="A86" t="s">
        <v>39</v>
      </c>
      <c r="B86">
        <v>510</v>
      </c>
      <c r="D86">
        <v>1200</v>
      </c>
      <c r="G86">
        <v>510</v>
      </c>
      <c r="I86">
        <v>510</v>
      </c>
    </row>
    <row r="87" spans="1:16" x14ac:dyDescent="0.2">
      <c r="A87" s="3" t="s">
        <v>40</v>
      </c>
      <c r="B87" s="3">
        <f>SUM(B85:B86)</f>
        <v>8385</v>
      </c>
      <c r="C87" s="3"/>
      <c r="D87" s="3">
        <f>SUM(D85:D86)</f>
        <v>9075</v>
      </c>
      <c r="E87" s="3"/>
      <c r="G87" s="3">
        <f>SUM(G85:G86)</f>
        <v>8385</v>
      </c>
      <c r="I87" s="3">
        <f>SUM(I85:I86)</f>
        <v>8385</v>
      </c>
    </row>
    <row r="89" spans="1:16" x14ac:dyDescent="0.2">
      <c r="A89" s="3" t="s">
        <v>41</v>
      </c>
      <c r="B89" s="3">
        <f>B87-B83</f>
        <v>1955</v>
      </c>
      <c r="C89" s="3"/>
      <c r="D89" s="3">
        <f>D87-D83</f>
        <v>1225</v>
      </c>
      <c r="E89" s="3"/>
      <c r="G89" s="3">
        <f>G87-G83</f>
        <v>5</v>
      </c>
      <c r="I89" s="3">
        <f>I87-I83</f>
        <v>705</v>
      </c>
    </row>
    <row r="90" spans="1:16" x14ac:dyDescent="0.2">
      <c r="A90" s="3" t="s">
        <v>42</v>
      </c>
      <c r="B90" s="3">
        <f>B89*12</f>
        <v>23460</v>
      </c>
      <c r="C90" s="3"/>
      <c r="D90" s="3">
        <f>D89*12</f>
        <v>14700</v>
      </c>
      <c r="E90" s="3"/>
      <c r="G90" s="3">
        <f>G89*12</f>
        <v>60</v>
      </c>
      <c r="I90" s="3">
        <f>I89*12</f>
        <v>8460</v>
      </c>
    </row>
    <row r="93" spans="1:16" ht="2.2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O93" s="5"/>
      <c r="P93" s="5"/>
    </row>
    <row r="95" spans="1:16" x14ac:dyDescent="0.2">
      <c r="B95" s="3" t="s">
        <v>43</v>
      </c>
      <c r="C95" s="3"/>
      <c r="D95" s="3"/>
      <c r="E95" s="3"/>
      <c r="F95" s="3"/>
      <c r="G95" s="3" t="s">
        <v>44</v>
      </c>
      <c r="H95" s="3"/>
      <c r="I95" s="3" t="s">
        <v>45</v>
      </c>
    </row>
    <row r="97" spans="1:9" x14ac:dyDescent="0.2">
      <c r="A97" s="3" t="s">
        <v>46</v>
      </c>
      <c r="B97">
        <v>109000</v>
      </c>
      <c r="G97">
        <v>105000</v>
      </c>
      <c r="I97">
        <v>105000</v>
      </c>
    </row>
    <row r="98" spans="1:9" x14ac:dyDescent="0.2">
      <c r="A98" s="3" t="s">
        <v>47</v>
      </c>
      <c r="B98">
        <v>80000</v>
      </c>
      <c r="G98">
        <v>102000</v>
      </c>
      <c r="I98">
        <v>95000</v>
      </c>
    </row>
    <row r="99" spans="1:9" x14ac:dyDescent="0.2">
      <c r="A99" s="3" t="s">
        <v>42</v>
      </c>
      <c r="B99">
        <f>B97-B98</f>
        <v>29000</v>
      </c>
      <c r="G99">
        <f>G97-G98</f>
        <v>3000</v>
      </c>
      <c r="I99">
        <f>I97-I98</f>
        <v>10000</v>
      </c>
    </row>
  </sheetData>
  <pageMargins left="0.7" right="0.7" top="0.78740157499999996" bottom="0.78740157499999996" header="0.3" footer="0.3"/>
  <pageSetup orientation="portrait" r:id="rId1"/>
  <headerFooter>
    <oddFooter>&amp;C_x000D_&amp;1#&amp;"BMW Group Condensed"&amp;12&amp;KC00000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7037-4318-4631-BF1C-050CA29B59D9}">
  <dimension ref="A1:U51"/>
  <sheetViews>
    <sheetView zoomScaleNormal="100" workbookViewId="0">
      <selection activeCell="G3" sqref="G3:G4"/>
    </sheetView>
  </sheetViews>
  <sheetFormatPr baseColWidth="10" defaultRowHeight="14.25" x14ac:dyDescent="0.2"/>
  <cols>
    <col min="3" max="3" width="11.25" style="81" bestFit="1" customWidth="1"/>
    <col min="5" max="5" width="24.875" bestFit="1" customWidth="1"/>
    <col min="7" max="7" width="13.5" bestFit="1" customWidth="1"/>
    <col min="9" max="9" width="29.5" bestFit="1" customWidth="1"/>
    <col min="10" max="10" width="10.375" bestFit="1" customWidth="1"/>
    <col min="11" max="11" width="12" bestFit="1" customWidth="1"/>
    <col min="12" max="12" width="21.375" bestFit="1" customWidth="1"/>
    <col min="15" max="15" width="21.375" bestFit="1" customWidth="1"/>
    <col min="19" max="19" width="11.25" bestFit="1" customWidth="1"/>
    <col min="20" max="20" width="11.375" bestFit="1" customWidth="1"/>
    <col min="21" max="21" width="11.25" bestFit="1" customWidth="1"/>
  </cols>
  <sheetData>
    <row r="1" spans="1:21" x14ac:dyDescent="0.2">
      <c r="A1" s="3" t="s">
        <v>233</v>
      </c>
      <c r="B1" s="3" t="s">
        <v>183</v>
      </c>
      <c r="C1" s="137" t="s">
        <v>234</v>
      </c>
      <c r="E1" s="149" t="s">
        <v>7</v>
      </c>
      <c r="F1" s="150" t="s">
        <v>183</v>
      </c>
      <c r="G1" s="151" t="s">
        <v>234</v>
      </c>
      <c r="I1" s="149" t="s">
        <v>40</v>
      </c>
      <c r="J1" s="150" t="s">
        <v>183</v>
      </c>
      <c r="K1" s="151" t="s">
        <v>234</v>
      </c>
      <c r="P1" s="3">
        <v>2026</v>
      </c>
      <c r="Q1" t="s">
        <v>238</v>
      </c>
    </row>
    <row r="2" spans="1:21" x14ac:dyDescent="0.2">
      <c r="A2" t="s">
        <v>235</v>
      </c>
      <c r="B2" s="148">
        <v>46133</v>
      </c>
      <c r="C2" s="30">
        <v>46419</v>
      </c>
      <c r="E2" s="152" t="s">
        <v>313</v>
      </c>
      <c r="F2" s="148">
        <v>46157</v>
      </c>
      <c r="G2" s="158">
        <v>6960</v>
      </c>
      <c r="I2" s="152" t="s">
        <v>320</v>
      </c>
      <c r="J2" s="148" t="s">
        <v>238</v>
      </c>
      <c r="K2" s="155">
        <f>K24</f>
        <v>31758</v>
      </c>
      <c r="O2" t="s">
        <v>154</v>
      </c>
      <c r="P2" s="66">
        <v>65</v>
      </c>
      <c r="Q2" s="7"/>
      <c r="R2" s="7"/>
      <c r="S2" s="7"/>
    </row>
    <row r="3" spans="1:21" x14ac:dyDescent="0.2">
      <c r="E3" s="152" t="s">
        <v>333</v>
      </c>
      <c r="F3" s="148" t="s">
        <v>238</v>
      </c>
      <c r="G3" s="159">
        <v>2000</v>
      </c>
      <c r="I3" s="152" t="s">
        <v>242</v>
      </c>
      <c r="J3" s="148" t="s">
        <v>238</v>
      </c>
      <c r="K3" s="155">
        <v>5332</v>
      </c>
      <c r="O3" t="s">
        <v>155</v>
      </c>
      <c r="P3" s="66">
        <v>1818</v>
      </c>
      <c r="Q3" s="7"/>
      <c r="R3" s="7"/>
      <c r="S3" s="7"/>
    </row>
    <row r="4" spans="1:21" x14ac:dyDescent="0.2">
      <c r="E4" s="152" t="s">
        <v>239</v>
      </c>
      <c r="F4" s="148" t="s">
        <v>238</v>
      </c>
      <c r="G4" s="159">
        <v>1141</v>
      </c>
      <c r="I4" s="152"/>
      <c r="J4" s="148"/>
      <c r="K4" s="155"/>
      <c r="O4" t="s">
        <v>156</v>
      </c>
      <c r="P4" s="66">
        <v>1489</v>
      </c>
      <c r="Q4" s="7"/>
      <c r="R4" s="7"/>
      <c r="S4" s="7"/>
    </row>
    <row r="5" spans="1:21" x14ac:dyDescent="0.2">
      <c r="E5" s="152" t="s">
        <v>243</v>
      </c>
      <c r="F5" s="148" t="s">
        <v>238</v>
      </c>
      <c r="G5" s="158">
        <v>10000</v>
      </c>
      <c r="I5" s="152"/>
      <c r="J5" s="148"/>
      <c r="K5" s="155"/>
      <c r="O5" t="s">
        <v>157</v>
      </c>
      <c r="P5" s="227">
        <v>1200</v>
      </c>
      <c r="Q5" s="7">
        <f>1200-R5</f>
        <v>-870</v>
      </c>
      <c r="R5" s="171">
        <v>2070</v>
      </c>
      <c r="S5" s="7"/>
      <c r="T5" s="7"/>
    </row>
    <row r="6" spans="1:21" x14ac:dyDescent="0.2">
      <c r="A6" s="3" t="s">
        <v>233</v>
      </c>
      <c r="B6" s="3" t="s">
        <v>183</v>
      </c>
      <c r="C6" s="137" t="s">
        <v>234</v>
      </c>
      <c r="E6" s="152" t="s">
        <v>240</v>
      </c>
      <c r="F6" s="148">
        <v>46136</v>
      </c>
      <c r="G6" s="160">
        <v>2070</v>
      </c>
      <c r="I6" s="152"/>
      <c r="J6" s="148"/>
      <c r="K6" s="155"/>
      <c r="O6" t="s">
        <v>158</v>
      </c>
      <c r="P6" s="66">
        <v>1830</v>
      </c>
      <c r="Q6" s="7">
        <f>2014-S6+R6-T6-U6</f>
        <v>-8715</v>
      </c>
      <c r="R6" s="7">
        <v>820</v>
      </c>
      <c r="S6" s="171">
        <v>3789</v>
      </c>
      <c r="T6" s="171">
        <v>800</v>
      </c>
      <c r="U6" s="95">
        <v>6960</v>
      </c>
    </row>
    <row r="7" spans="1:21" x14ac:dyDescent="0.2">
      <c r="A7" t="s">
        <v>236</v>
      </c>
      <c r="B7" s="148">
        <v>46387</v>
      </c>
      <c r="C7" s="30">
        <f>C2-G12+K12</f>
        <v>47934</v>
      </c>
      <c r="E7" s="152" t="s">
        <v>252</v>
      </c>
      <c r="F7" s="148">
        <v>46173</v>
      </c>
      <c r="G7" s="160">
        <v>3789</v>
      </c>
      <c r="I7" s="152"/>
      <c r="K7" s="155"/>
      <c r="O7" t="s">
        <v>159</v>
      </c>
      <c r="P7" s="66">
        <v>1850</v>
      </c>
      <c r="Q7" s="7">
        <f>1500+S7+R7-T7</f>
        <v>3500</v>
      </c>
      <c r="R7" s="7">
        <v>2000</v>
      </c>
      <c r="S7" s="7">
        <v>4000</v>
      </c>
      <c r="T7" s="171">
        <v>4000</v>
      </c>
    </row>
    <row r="8" spans="1:21" x14ac:dyDescent="0.2">
      <c r="A8" s="167" t="s">
        <v>236</v>
      </c>
      <c r="B8" s="168">
        <v>46752</v>
      </c>
      <c r="C8" s="169">
        <f>C7+$G$38</f>
        <v>59884</v>
      </c>
      <c r="E8" s="152" t="s">
        <v>253</v>
      </c>
      <c r="F8" s="148" t="s">
        <v>238</v>
      </c>
      <c r="G8" s="160">
        <v>2400</v>
      </c>
      <c r="I8" s="152"/>
      <c r="K8" s="155"/>
      <c r="O8" t="s">
        <v>160</v>
      </c>
      <c r="P8" s="66">
        <v>1500</v>
      </c>
      <c r="Q8" s="7">
        <f>1500+S8-R8-T8</f>
        <v>1300</v>
      </c>
      <c r="R8" s="171">
        <v>2400</v>
      </c>
      <c r="S8" s="7">
        <v>5000</v>
      </c>
      <c r="T8" s="171">
        <v>2800</v>
      </c>
    </row>
    <row r="9" spans="1:21" x14ac:dyDescent="0.2">
      <c r="A9" s="167" t="s">
        <v>236</v>
      </c>
      <c r="B9" s="168">
        <v>47118</v>
      </c>
      <c r="C9" s="169">
        <f>C8+$G$38</f>
        <v>71834</v>
      </c>
      <c r="E9" s="152" t="s">
        <v>254</v>
      </c>
      <c r="F9" s="148">
        <v>46173</v>
      </c>
      <c r="G9" s="160">
        <v>3575</v>
      </c>
      <c r="I9" s="152"/>
      <c r="K9" s="155"/>
      <c r="O9" t="s">
        <v>161</v>
      </c>
      <c r="P9" s="66">
        <v>1500</v>
      </c>
      <c r="Q9" s="7">
        <f>1500-S9+R9-T9+U9</f>
        <v>-7018</v>
      </c>
      <c r="R9" s="7">
        <v>1000</v>
      </c>
      <c r="S9" s="171">
        <v>10000</v>
      </c>
      <c r="T9" s="171">
        <v>2840</v>
      </c>
      <c r="U9">
        <v>3322</v>
      </c>
    </row>
    <row r="10" spans="1:21" x14ac:dyDescent="0.2">
      <c r="A10" s="167" t="s">
        <v>236</v>
      </c>
      <c r="B10" s="168">
        <v>47483</v>
      </c>
      <c r="C10" s="169">
        <f t="shared" ref="C10:C20" si="0">C9+$G$38</f>
        <v>83784</v>
      </c>
      <c r="E10" s="152" t="s">
        <v>271</v>
      </c>
      <c r="F10" s="148">
        <v>46157</v>
      </c>
      <c r="G10" s="160">
        <v>800</v>
      </c>
      <c r="I10" s="152"/>
      <c r="K10" s="155"/>
      <c r="O10" t="s">
        <v>162</v>
      </c>
      <c r="P10" s="66">
        <v>1500</v>
      </c>
      <c r="Q10" s="7">
        <f>1500-R10</f>
        <v>1500</v>
      </c>
      <c r="R10" s="7"/>
      <c r="S10" s="7"/>
      <c r="T10" s="7"/>
    </row>
    <row r="11" spans="1:21" x14ac:dyDescent="0.2">
      <c r="A11" s="167" t="s">
        <v>236</v>
      </c>
      <c r="B11" s="168">
        <v>47848</v>
      </c>
      <c r="C11" s="169">
        <f t="shared" si="0"/>
        <v>95734</v>
      </c>
      <c r="E11" s="152" t="s">
        <v>237</v>
      </c>
      <c r="F11" s="148" t="s">
        <v>238</v>
      </c>
      <c r="G11" s="158">
        <v>2840</v>
      </c>
      <c r="I11" s="152"/>
      <c r="K11" s="155"/>
      <c r="O11" t="s">
        <v>178</v>
      </c>
      <c r="P11" s="66">
        <v>1500</v>
      </c>
      <c r="Q11" s="7">
        <v>1500</v>
      </c>
      <c r="R11" s="7"/>
      <c r="S11" s="7"/>
      <c r="T11" s="7"/>
    </row>
    <row r="12" spans="1:21" x14ac:dyDescent="0.2">
      <c r="A12" s="167" t="s">
        <v>236</v>
      </c>
      <c r="B12" s="168">
        <v>48213</v>
      </c>
      <c r="C12" s="169">
        <f t="shared" si="0"/>
        <v>107684</v>
      </c>
      <c r="E12" s="153" t="s">
        <v>27</v>
      </c>
      <c r="F12" s="154" t="s">
        <v>238</v>
      </c>
      <c r="G12" s="156">
        <f>SUM(G2:G11)</f>
        <v>35575</v>
      </c>
      <c r="I12" s="153" t="s">
        <v>27</v>
      </c>
      <c r="J12" s="154" t="s">
        <v>238</v>
      </c>
      <c r="K12" s="156">
        <f>SUM(K2:K11)</f>
        <v>37090</v>
      </c>
      <c r="O12" t="s">
        <v>203</v>
      </c>
      <c r="P12" s="66">
        <v>1500</v>
      </c>
      <c r="Q12" s="7">
        <f>1500+S12+R12</f>
        <v>6600</v>
      </c>
      <c r="R12" s="7">
        <v>4500</v>
      </c>
      <c r="S12" s="7">
        <v>600</v>
      </c>
      <c r="T12" s="7"/>
    </row>
    <row r="13" spans="1:21" x14ac:dyDescent="0.2">
      <c r="A13" s="167" t="s">
        <v>236</v>
      </c>
      <c r="B13" s="168">
        <v>48579</v>
      </c>
      <c r="C13" s="169">
        <f t="shared" si="0"/>
        <v>119634</v>
      </c>
      <c r="E13" s="172" t="s">
        <v>262</v>
      </c>
      <c r="F13" s="173"/>
      <c r="G13" s="174">
        <f>SUMIF(F2:F11,"Prognose",G2:G11)</f>
        <v>18381</v>
      </c>
      <c r="I13" s="161"/>
      <c r="J13" s="162"/>
      <c r="K13" s="163"/>
      <c r="O13" t="s">
        <v>204</v>
      </c>
      <c r="P13" s="66">
        <v>1500</v>
      </c>
      <c r="Q13" s="7">
        <v>1500</v>
      </c>
      <c r="R13" s="7"/>
      <c r="S13" s="7"/>
      <c r="T13" s="7"/>
    </row>
    <row r="14" spans="1:21" x14ac:dyDescent="0.2">
      <c r="A14" s="167" t="s">
        <v>236</v>
      </c>
      <c r="B14" s="168">
        <v>48944</v>
      </c>
      <c r="C14" s="169">
        <f t="shared" si="0"/>
        <v>131584</v>
      </c>
      <c r="I14" s="152"/>
      <c r="K14" s="164"/>
      <c r="P14" s="66">
        <f>AVERAGE(P2:P13)</f>
        <v>1437.6666666666667</v>
      </c>
      <c r="Q14" s="66">
        <f>AVERAGE(Q2:Q13)</f>
        <v>-78.111111111111114</v>
      </c>
      <c r="R14" s="7"/>
      <c r="S14" s="7"/>
    </row>
    <row r="15" spans="1:21" ht="18" x14ac:dyDescent="0.25">
      <c r="A15" s="167" t="s">
        <v>236</v>
      </c>
      <c r="B15" s="168">
        <v>49309</v>
      </c>
      <c r="C15" s="169">
        <f t="shared" si="0"/>
        <v>143534</v>
      </c>
      <c r="E15" s="262" t="s">
        <v>241</v>
      </c>
      <c r="F15" s="262"/>
      <c r="G15" s="157">
        <f>K12-G12</f>
        <v>1515</v>
      </c>
      <c r="I15" s="152"/>
      <c r="K15" s="164"/>
    </row>
    <row r="16" spans="1:21" x14ac:dyDescent="0.2">
      <c r="A16" s="167" t="s">
        <v>236</v>
      </c>
      <c r="B16" s="168">
        <v>49674</v>
      </c>
      <c r="C16" s="169">
        <f t="shared" si="0"/>
        <v>155484</v>
      </c>
      <c r="I16" s="152" t="s">
        <v>247</v>
      </c>
      <c r="J16" s="148">
        <v>46161</v>
      </c>
      <c r="K16" s="165">
        <f>SUM(P5:P13)</f>
        <v>13880</v>
      </c>
    </row>
    <row r="17" spans="1:11" x14ac:dyDescent="0.2">
      <c r="A17" s="167" t="s">
        <v>236</v>
      </c>
      <c r="B17" s="168">
        <v>50040</v>
      </c>
      <c r="C17" s="169">
        <f t="shared" si="0"/>
        <v>167434</v>
      </c>
      <c r="I17" s="152" t="s">
        <v>264</v>
      </c>
      <c r="J17" t="s">
        <v>238</v>
      </c>
      <c r="K17" s="165">
        <v>600</v>
      </c>
    </row>
    <row r="18" spans="1:11" x14ac:dyDescent="0.2">
      <c r="A18" s="167" t="s">
        <v>236</v>
      </c>
      <c r="B18" s="168">
        <v>50405</v>
      </c>
      <c r="C18" s="169">
        <f t="shared" si="0"/>
        <v>179384</v>
      </c>
      <c r="I18" s="152" t="s">
        <v>116</v>
      </c>
      <c r="J18" t="s">
        <v>238</v>
      </c>
      <c r="K18" s="165">
        <v>2000</v>
      </c>
    </row>
    <row r="19" spans="1:11" x14ac:dyDescent="0.2">
      <c r="A19" s="167" t="s">
        <v>236</v>
      </c>
      <c r="B19" s="168">
        <v>50770</v>
      </c>
      <c r="C19" s="169">
        <f t="shared" si="0"/>
        <v>191334</v>
      </c>
      <c r="I19" s="152" t="s">
        <v>244</v>
      </c>
      <c r="J19" s="148">
        <v>46203</v>
      </c>
      <c r="K19" s="165">
        <v>4100</v>
      </c>
    </row>
    <row r="20" spans="1:11" x14ac:dyDescent="0.2">
      <c r="A20" s="167" t="s">
        <v>236</v>
      </c>
      <c r="B20" s="168">
        <v>51135</v>
      </c>
      <c r="C20" s="169">
        <f t="shared" si="0"/>
        <v>203284</v>
      </c>
      <c r="I20" s="152" t="s">
        <v>23</v>
      </c>
      <c r="J20" t="s">
        <v>238</v>
      </c>
      <c r="K20" s="165">
        <v>4150</v>
      </c>
    </row>
    <row r="21" spans="1:11" x14ac:dyDescent="0.2">
      <c r="I21" s="152" t="s">
        <v>245</v>
      </c>
      <c r="J21" t="s">
        <v>238</v>
      </c>
      <c r="K21" s="165">
        <v>5200</v>
      </c>
    </row>
    <row r="22" spans="1:11" x14ac:dyDescent="0.2">
      <c r="I22" s="234" t="s">
        <v>246</v>
      </c>
      <c r="J22" s="235">
        <v>46161</v>
      </c>
      <c r="K22" s="236">
        <v>828</v>
      </c>
    </row>
    <row r="23" spans="1:11" x14ac:dyDescent="0.2">
      <c r="I23" s="152" t="s">
        <v>248</v>
      </c>
      <c r="J23" t="s">
        <v>238</v>
      </c>
      <c r="K23" s="165">
        <v>1000</v>
      </c>
    </row>
    <row r="24" spans="1:11" x14ac:dyDescent="0.2">
      <c r="I24" s="153" t="s">
        <v>27</v>
      </c>
      <c r="J24" s="166"/>
      <c r="K24" s="156">
        <f>SUM(K16:K23)</f>
        <v>31758</v>
      </c>
    </row>
    <row r="25" spans="1:11" x14ac:dyDescent="0.2">
      <c r="I25" s="172" t="s">
        <v>262</v>
      </c>
      <c r="J25" s="173"/>
      <c r="K25" s="174">
        <f>SUMIF(J17:J23,"Prognose",K17:K23)+SUM(P8:P13)</f>
        <v>21950</v>
      </c>
    </row>
    <row r="27" spans="1:11" x14ac:dyDescent="0.2">
      <c r="E27" s="149" t="s">
        <v>7</v>
      </c>
      <c r="F27" s="150" t="s">
        <v>183</v>
      </c>
      <c r="G27" s="151" t="s">
        <v>234</v>
      </c>
      <c r="I27" s="149" t="s">
        <v>259</v>
      </c>
      <c r="J27" s="150" t="s">
        <v>183</v>
      </c>
      <c r="K27" s="151" t="s">
        <v>234</v>
      </c>
    </row>
    <row r="28" spans="1:11" x14ac:dyDescent="0.2">
      <c r="E28" s="152" t="s">
        <v>255</v>
      </c>
      <c r="F28" s="148" t="s">
        <v>238</v>
      </c>
      <c r="G28" s="158">
        <v>10000</v>
      </c>
      <c r="I28" s="152" t="s">
        <v>260</v>
      </c>
      <c r="J28" s="148" t="s">
        <v>238</v>
      </c>
      <c r="K28" s="155">
        <f>K51</f>
        <v>33450</v>
      </c>
    </row>
    <row r="29" spans="1:11" x14ac:dyDescent="0.2">
      <c r="E29" s="152"/>
      <c r="F29" s="148"/>
      <c r="G29" s="160"/>
      <c r="I29" s="152"/>
      <c r="J29" s="148"/>
      <c r="K29" s="155"/>
    </row>
    <row r="30" spans="1:11" x14ac:dyDescent="0.2">
      <c r="E30" s="152" t="s">
        <v>256</v>
      </c>
      <c r="F30" s="148" t="s">
        <v>238</v>
      </c>
      <c r="G30" s="160">
        <v>4500</v>
      </c>
      <c r="I30" s="152"/>
      <c r="J30" s="148"/>
      <c r="K30" s="155"/>
    </row>
    <row r="31" spans="1:11" x14ac:dyDescent="0.2">
      <c r="E31" s="152" t="s">
        <v>256</v>
      </c>
      <c r="F31" s="148" t="s">
        <v>238</v>
      </c>
      <c r="G31" s="160">
        <v>2500</v>
      </c>
      <c r="I31" s="152"/>
      <c r="J31" s="148"/>
      <c r="K31" s="155"/>
    </row>
    <row r="32" spans="1:11" x14ac:dyDescent="0.2">
      <c r="E32" s="152" t="s">
        <v>254</v>
      </c>
      <c r="F32" s="148" t="s">
        <v>238</v>
      </c>
      <c r="G32" s="160">
        <v>1500</v>
      </c>
      <c r="I32" s="152"/>
      <c r="J32" s="148"/>
      <c r="K32" s="155"/>
    </row>
    <row r="33" spans="4:17" x14ac:dyDescent="0.2">
      <c r="E33" s="152" t="s">
        <v>261</v>
      </c>
      <c r="F33" s="148" t="s">
        <v>238</v>
      </c>
      <c r="G33" s="160">
        <v>3000</v>
      </c>
      <c r="I33" s="152"/>
      <c r="K33" s="155"/>
    </row>
    <row r="34" spans="4:17" x14ac:dyDescent="0.2">
      <c r="E34" s="152"/>
      <c r="G34" s="155"/>
      <c r="I34" s="152"/>
      <c r="K34" s="155"/>
    </row>
    <row r="35" spans="4:17" x14ac:dyDescent="0.2">
      <c r="E35" s="153" t="s">
        <v>27</v>
      </c>
      <c r="F35" s="154" t="s">
        <v>238</v>
      </c>
      <c r="G35" s="156">
        <f>SUM(G28:G34)</f>
        <v>21500</v>
      </c>
      <c r="I35" s="152"/>
      <c r="K35" s="155"/>
    </row>
    <row r="36" spans="4:17" x14ac:dyDescent="0.2">
      <c r="I36" s="152"/>
      <c r="K36" s="155"/>
    </row>
    <row r="37" spans="4:17" x14ac:dyDescent="0.2">
      <c r="I37" s="152"/>
      <c r="K37" s="155"/>
    </row>
    <row r="38" spans="4:17" ht="18" x14ac:dyDescent="0.25">
      <c r="D38" s="263" t="s">
        <v>274</v>
      </c>
      <c r="E38" s="263"/>
      <c r="F38" s="263"/>
      <c r="G38" s="157">
        <f>K38-G35</f>
        <v>11950</v>
      </c>
      <c r="I38" s="153" t="s">
        <v>27</v>
      </c>
      <c r="J38" s="154" t="s">
        <v>238</v>
      </c>
      <c r="K38" s="156">
        <f>SUM(K28:K37)</f>
        <v>33450</v>
      </c>
    </row>
    <row r="39" spans="4:17" ht="18" x14ac:dyDescent="0.25">
      <c r="D39" s="263" t="s">
        <v>275</v>
      </c>
      <c r="E39" s="263"/>
      <c r="F39" s="263"/>
      <c r="G39" s="157">
        <f>N51-G35</f>
        <v>3650</v>
      </c>
      <c r="I39" s="161"/>
      <c r="J39" s="162"/>
      <c r="K39" s="163"/>
      <c r="L39" s="161"/>
      <c r="M39" s="162"/>
      <c r="N39" s="163"/>
      <c r="O39" s="161"/>
      <c r="P39" s="162"/>
      <c r="Q39" s="163"/>
    </row>
    <row r="40" spans="4:17" ht="18" x14ac:dyDescent="0.25">
      <c r="D40" s="263" t="s">
        <v>277</v>
      </c>
      <c r="E40" s="263"/>
      <c r="F40" s="263"/>
      <c r="G40" s="157">
        <f>Q51-G35</f>
        <v>16150</v>
      </c>
      <c r="I40" s="152"/>
      <c r="K40" s="164"/>
      <c r="L40" s="152"/>
      <c r="N40" s="164"/>
      <c r="O40" s="152"/>
      <c r="Q40" s="164"/>
    </row>
    <row r="41" spans="4:17" x14ac:dyDescent="0.2">
      <c r="I41" s="152"/>
      <c r="K41" s="164"/>
      <c r="L41" s="152"/>
      <c r="N41" s="164"/>
      <c r="O41" s="152"/>
      <c r="Q41" s="164"/>
    </row>
    <row r="42" spans="4:17" x14ac:dyDescent="0.2">
      <c r="I42" s="152" t="s">
        <v>264</v>
      </c>
      <c r="K42" s="165">
        <v>600</v>
      </c>
      <c r="L42" s="152" t="s">
        <v>264</v>
      </c>
      <c r="N42" s="165">
        <v>600</v>
      </c>
      <c r="O42" s="152" t="s">
        <v>264</v>
      </c>
      <c r="Q42" s="165">
        <v>600</v>
      </c>
    </row>
    <row r="43" spans="4:17" x14ac:dyDescent="0.2">
      <c r="I43" s="152" t="s">
        <v>258</v>
      </c>
      <c r="J43" s="30">
        <v>1250</v>
      </c>
      <c r="K43" s="165">
        <f>J43*12</f>
        <v>15000</v>
      </c>
      <c r="L43" s="152" t="s">
        <v>258</v>
      </c>
      <c r="M43" s="30">
        <v>1000</v>
      </c>
      <c r="N43" s="165">
        <f>M43*12</f>
        <v>12000</v>
      </c>
      <c r="O43" s="152" t="s">
        <v>258</v>
      </c>
      <c r="P43" s="30">
        <v>1400</v>
      </c>
      <c r="Q43" s="165">
        <f>P43*12</f>
        <v>16800</v>
      </c>
    </row>
    <row r="44" spans="4:17" x14ac:dyDescent="0.2">
      <c r="I44" s="152" t="s">
        <v>116</v>
      </c>
      <c r="J44" s="30"/>
      <c r="K44" s="165">
        <v>3500</v>
      </c>
      <c r="L44" s="152" t="s">
        <v>116</v>
      </c>
      <c r="M44" s="30"/>
      <c r="N44" s="165">
        <v>2800</v>
      </c>
      <c r="O44" s="152" t="s">
        <v>116</v>
      </c>
      <c r="P44" s="30"/>
      <c r="Q44" s="165">
        <v>4000</v>
      </c>
    </row>
    <row r="45" spans="4:17" x14ac:dyDescent="0.2">
      <c r="I45" s="152" t="s">
        <v>244</v>
      </c>
      <c r="J45" s="30"/>
      <c r="K45" s="165">
        <v>4100</v>
      </c>
      <c r="L45" s="152" t="s">
        <v>244</v>
      </c>
      <c r="M45" s="30"/>
      <c r="N45" s="165">
        <v>4000</v>
      </c>
      <c r="O45" s="152" t="s">
        <v>244</v>
      </c>
      <c r="P45" s="30"/>
      <c r="Q45" s="165">
        <v>4000</v>
      </c>
    </row>
    <row r="46" spans="4:17" x14ac:dyDescent="0.2">
      <c r="I46" s="152" t="s">
        <v>23</v>
      </c>
      <c r="J46" s="30"/>
      <c r="K46" s="165">
        <v>4680</v>
      </c>
      <c r="L46" s="152" t="s">
        <v>23</v>
      </c>
      <c r="M46" s="30"/>
      <c r="N46" s="165">
        <v>3000</v>
      </c>
      <c r="O46" s="152" t="s">
        <v>23</v>
      </c>
      <c r="P46" s="30"/>
      <c r="Q46" s="165">
        <v>4680</v>
      </c>
    </row>
    <row r="47" spans="4:17" x14ac:dyDescent="0.2">
      <c r="I47" s="152" t="s">
        <v>245</v>
      </c>
      <c r="J47" s="30"/>
      <c r="K47" s="165">
        <v>3000</v>
      </c>
      <c r="L47" s="152" t="s">
        <v>245</v>
      </c>
      <c r="M47" s="30"/>
      <c r="N47" s="165">
        <v>500</v>
      </c>
      <c r="O47" s="152" t="s">
        <v>245</v>
      </c>
      <c r="P47" s="30"/>
      <c r="Q47" s="165">
        <v>5000</v>
      </c>
    </row>
    <row r="48" spans="4:17" x14ac:dyDescent="0.2">
      <c r="I48" s="152" t="s">
        <v>246</v>
      </c>
      <c r="J48" s="30"/>
      <c r="K48" s="165">
        <v>820</v>
      </c>
      <c r="L48" s="152" t="s">
        <v>246</v>
      </c>
      <c r="M48" s="30"/>
      <c r="N48" s="165">
        <v>500</v>
      </c>
      <c r="O48" s="152" t="s">
        <v>246</v>
      </c>
      <c r="P48" s="30"/>
      <c r="Q48" s="165">
        <v>820</v>
      </c>
    </row>
    <row r="49" spans="9:17" x14ac:dyDescent="0.2">
      <c r="I49" s="152" t="s">
        <v>263</v>
      </c>
      <c r="J49" s="30"/>
      <c r="K49" s="165">
        <v>750</v>
      </c>
      <c r="L49" s="152" t="s">
        <v>263</v>
      </c>
      <c r="M49" s="30"/>
      <c r="N49" s="165">
        <v>750</v>
      </c>
      <c r="O49" s="152" t="s">
        <v>263</v>
      </c>
      <c r="P49" s="30"/>
      <c r="Q49" s="165">
        <v>750</v>
      </c>
    </row>
    <row r="50" spans="9:17" x14ac:dyDescent="0.2">
      <c r="I50" s="152" t="s">
        <v>248</v>
      </c>
      <c r="J50" s="30"/>
      <c r="K50" s="165">
        <v>1000</v>
      </c>
      <c r="L50" s="152" t="s">
        <v>248</v>
      </c>
      <c r="M50" s="30"/>
      <c r="N50" s="165">
        <v>1000</v>
      </c>
      <c r="O50" s="152" t="s">
        <v>248</v>
      </c>
      <c r="P50" s="30"/>
      <c r="Q50" s="165">
        <v>1000</v>
      </c>
    </row>
    <row r="51" spans="9:17" x14ac:dyDescent="0.2">
      <c r="I51" s="153" t="s">
        <v>272</v>
      </c>
      <c r="J51" s="166"/>
      <c r="K51" s="156">
        <f>SUM(K42:K50)</f>
        <v>33450</v>
      </c>
      <c r="L51" s="153" t="s">
        <v>273</v>
      </c>
      <c r="M51" s="166"/>
      <c r="N51" s="156">
        <f>SUM(N42:N50)</f>
        <v>25150</v>
      </c>
      <c r="O51" s="153" t="s">
        <v>276</v>
      </c>
      <c r="P51" s="166"/>
      <c r="Q51" s="156">
        <f>SUM(Q42:Q50)</f>
        <v>37650</v>
      </c>
    </row>
  </sheetData>
  <mergeCells count="4">
    <mergeCell ref="E15:F15"/>
    <mergeCell ref="D38:F38"/>
    <mergeCell ref="D39:F39"/>
    <mergeCell ref="D40:F40"/>
  </mergeCells>
  <conditionalFormatting sqref="G15 G38:G40">
    <cfRule type="expression" dxfId="1" priority="1">
      <formula>G15&gt;0</formula>
    </cfRule>
    <cfRule type="expression" dxfId="0" priority="2">
      <formula>G15&lt;0</formula>
    </cfRule>
  </conditionalFormatting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7C06-CF05-409E-B7E0-3E6F7687BDFE}">
  <dimension ref="A1:R61"/>
  <sheetViews>
    <sheetView tabSelected="1" workbookViewId="0">
      <selection activeCell="G10" sqref="G10:G12"/>
    </sheetView>
  </sheetViews>
  <sheetFormatPr baseColWidth="10" defaultRowHeight="14.25" x14ac:dyDescent="0.2"/>
  <cols>
    <col min="1" max="1" width="19.75" bestFit="1" customWidth="1"/>
    <col min="3" max="3" width="11.25" bestFit="1" customWidth="1"/>
    <col min="6" max="6" width="16.5" customWidth="1"/>
    <col min="7" max="7" width="12.25" bestFit="1" customWidth="1"/>
    <col min="8" max="8" width="11.625" bestFit="1" customWidth="1"/>
    <col min="9" max="9" width="13.375" bestFit="1" customWidth="1"/>
    <col min="10" max="11" width="13.375" customWidth="1"/>
    <col min="14" max="14" width="15.625" bestFit="1" customWidth="1"/>
    <col min="15" max="15" width="13.375" bestFit="1" customWidth="1"/>
    <col min="17" max="17" width="15.5" bestFit="1" customWidth="1"/>
    <col min="18" max="18" width="11.75" bestFit="1" customWidth="1"/>
  </cols>
  <sheetData>
    <row r="1" spans="1:18" x14ac:dyDescent="0.2">
      <c r="A1" t="s">
        <v>69</v>
      </c>
      <c r="G1" t="s">
        <v>51</v>
      </c>
      <c r="I1" t="s">
        <v>52</v>
      </c>
    </row>
    <row r="2" spans="1:18" x14ac:dyDescent="0.2">
      <c r="B2" s="7"/>
      <c r="F2" t="s">
        <v>175</v>
      </c>
      <c r="G2" s="81">
        <v>92000</v>
      </c>
      <c r="H2" t="s">
        <v>52</v>
      </c>
      <c r="I2" s="81">
        <v>288000</v>
      </c>
      <c r="J2" s="81"/>
      <c r="K2" s="81"/>
      <c r="N2" t="s">
        <v>139</v>
      </c>
      <c r="O2" s="81">
        <v>360000</v>
      </c>
    </row>
    <row r="3" spans="1:18" ht="15" thickBot="1" x14ac:dyDescent="0.25">
      <c r="B3" s="7"/>
      <c r="F3" t="s">
        <v>133</v>
      </c>
      <c r="G3" s="82">
        <v>-2834.8</v>
      </c>
      <c r="H3" t="s">
        <v>137</v>
      </c>
      <c r="I3" s="82">
        <v>-200000</v>
      </c>
      <c r="J3" s="82"/>
      <c r="K3" s="82"/>
      <c r="N3" s="83" t="s">
        <v>140</v>
      </c>
      <c r="O3" s="85">
        <f>SUM(I3:I5,G7:G9)</f>
        <v>-299160</v>
      </c>
    </row>
    <row r="4" spans="1:18" ht="15" thickTop="1" x14ac:dyDescent="0.2">
      <c r="B4" s="7"/>
      <c r="F4" t="s">
        <v>134</v>
      </c>
      <c r="G4" s="82">
        <v>-1213.9000000000001</v>
      </c>
      <c r="H4" t="s">
        <v>138</v>
      </c>
      <c r="I4" s="82">
        <v>-15000</v>
      </c>
      <c r="J4" s="82"/>
      <c r="K4" s="82"/>
      <c r="N4" t="s">
        <v>141</v>
      </c>
      <c r="O4" s="81">
        <f>O2+O3</f>
        <v>60840</v>
      </c>
      <c r="Q4" s="81" t="s">
        <v>152</v>
      </c>
      <c r="R4" s="81">
        <f>SUM(G10:G12)</f>
        <v>-5981.36</v>
      </c>
    </row>
    <row r="5" spans="1:18" x14ac:dyDescent="0.2">
      <c r="A5" t="s">
        <v>70</v>
      </c>
      <c r="B5" s="7">
        <v>322000</v>
      </c>
      <c r="F5" t="s">
        <v>135</v>
      </c>
      <c r="G5" s="82">
        <v>-1012.5</v>
      </c>
      <c r="H5" t="s">
        <v>309</v>
      </c>
      <c r="I5" s="82">
        <v>-15000</v>
      </c>
      <c r="J5" s="82"/>
      <c r="K5" s="82"/>
      <c r="O5" s="81"/>
    </row>
    <row r="6" spans="1:18" x14ac:dyDescent="0.2">
      <c r="A6" t="s">
        <v>71</v>
      </c>
      <c r="B6" s="7">
        <v>38000</v>
      </c>
      <c r="F6" t="s">
        <v>136</v>
      </c>
      <c r="G6" s="82">
        <v>-12600</v>
      </c>
      <c r="I6" s="82"/>
      <c r="J6" s="82"/>
      <c r="K6" s="82"/>
    </row>
    <row r="7" spans="1:18" x14ac:dyDescent="0.2">
      <c r="A7" t="s">
        <v>49</v>
      </c>
      <c r="B7" s="7">
        <v>19800</v>
      </c>
      <c r="F7" t="s">
        <v>137</v>
      </c>
      <c r="G7" s="82">
        <v>-58840</v>
      </c>
      <c r="I7" s="82"/>
      <c r="J7" s="82"/>
      <c r="K7" s="82"/>
      <c r="N7" t="s">
        <v>147</v>
      </c>
      <c r="O7" s="87">
        <f>O$2*P7</f>
        <v>90000</v>
      </c>
      <c r="P7" s="88">
        <v>0.25</v>
      </c>
    </row>
    <row r="8" spans="1:18" x14ac:dyDescent="0.2">
      <c r="A8" t="s">
        <v>50</v>
      </c>
      <c r="B8" s="7">
        <f>SUM(B5:B7)</f>
        <v>379800</v>
      </c>
      <c r="F8" t="s">
        <v>138</v>
      </c>
      <c r="G8" s="82">
        <v>-3360</v>
      </c>
      <c r="I8" s="82"/>
      <c r="J8" s="82"/>
      <c r="K8" s="82"/>
      <c r="N8" t="s">
        <v>148</v>
      </c>
      <c r="O8" s="87">
        <f>O$2*P8</f>
        <v>120960.00000000001</v>
      </c>
      <c r="P8" s="89">
        <v>0.33600000000000002</v>
      </c>
    </row>
    <row r="9" spans="1:18" x14ac:dyDescent="0.2">
      <c r="B9" s="7"/>
      <c r="F9" t="s">
        <v>309</v>
      </c>
      <c r="G9" s="82">
        <v>-6960</v>
      </c>
      <c r="I9" s="82"/>
      <c r="J9" s="82"/>
      <c r="K9" s="82"/>
      <c r="N9" t="s">
        <v>149</v>
      </c>
      <c r="O9" s="87">
        <f t="shared" ref="O9:O11" si="0">O$2*P9</f>
        <v>47880</v>
      </c>
      <c r="P9" s="89">
        <v>0.13300000000000001</v>
      </c>
    </row>
    <row r="10" spans="1:18" x14ac:dyDescent="0.2">
      <c r="A10" t="s">
        <v>51</v>
      </c>
      <c r="B10" s="7">
        <v>92000</v>
      </c>
      <c r="F10" t="s">
        <v>310</v>
      </c>
      <c r="G10" s="81">
        <v>-1141.3599999999999</v>
      </c>
      <c r="I10" s="82"/>
      <c r="J10" s="82"/>
      <c r="K10" s="82"/>
      <c r="N10" t="s">
        <v>150</v>
      </c>
      <c r="O10" s="87">
        <f t="shared" si="0"/>
        <v>18360</v>
      </c>
      <c r="P10" s="89">
        <v>5.0999999999999997E-2</v>
      </c>
    </row>
    <row r="11" spans="1:18" x14ac:dyDescent="0.2">
      <c r="A11" t="s">
        <v>52</v>
      </c>
      <c r="B11" s="7">
        <v>288000</v>
      </c>
      <c r="F11" t="s">
        <v>311</v>
      </c>
      <c r="G11" s="81">
        <v>-2000</v>
      </c>
      <c r="I11" s="82"/>
      <c r="J11" s="82"/>
      <c r="K11" s="82"/>
      <c r="N11" t="s">
        <v>144</v>
      </c>
      <c r="O11" s="81">
        <f t="shared" si="0"/>
        <v>30240.000000000004</v>
      </c>
      <c r="P11" s="86">
        <v>8.4000000000000005E-2</v>
      </c>
    </row>
    <row r="12" spans="1:18" ht="15" thickBot="1" x14ac:dyDescent="0.25">
      <c r="B12" s="7"/>
      <c r="F12" s="83" t="s">
        <v>312</v>
      </c>
      <c r="G12" s="85">
        <v>-2840</v>
      </c>
      <c r="H12" s="83"/>
      <c r="I12" s="84"/>
      <c r="J12" s="82"/>
      <c r="K12" s="82"/>
      <c r="N12" s="216" t="s">
        <v>145</v>
      </c>
      <c r="O12" s="87">
        <f>O$2*P12</f>
        <v>21960</v>
      </c>
      <c r="P12" s="89">
        <v>6.0999999999999999E-2</v>
      </c>
    </row>
    <row r="13" spans="1:18" ht="15" thickTop="1" x14ac:dyDescent="0.2">
      <c r="G13" s="81">
        <f>G2+SUM(G3:G12)</f>
        <v>-802.55999999999767</v>
      </c>
      <c r="I13" s="81">
        <f>I2+SUM(I3:I11)</f>
        <v>58000</v>
      </c>
      <c r="J13" s="81"/>
      <c r="K13" s="81"/>
      <c r="N13" t="s">
        <v>146</v>
      </c>
      <c r="O13" s="81">
        <f>O$2*P13</f>
        <v>12600.000000000002</v>
      </c>
      <c r="P13" s="86">
        <v>3.5000000000000003E-2</v>
      </c>
    </row>
    <row r="14" spans="1:18" x14ac:dyDescent="0.2">
      <c r="G14" s="81"/>
      <c r="N14" t="s">
        <v>151</v>
      </c>
      <c r="O14" s="81">
        <f>O$2*P14</f>
        <v>18000</v>
      </c>
      <c r="P14" s="86">
        <v>0.05</v>
      </c>
    </row>
    <row r="15" spans="1:18" x14ac:dyDescent="0.2">
      <c r="F15" t="s">
        <v>142</v>
      </c>
      <c r="G15" s="81">
        <v>46419</v>
      </c>
    </row>
    <row r="16" spans="1:18" x14ac:dyDescent="0.2">
      <c r="F16" t="s">
        <v>143</v>
      </c>
      <c r="G16" s="81">
        <f>G15-G13</f>
        <v>47221.56</v>
      </c>
    </row>
    <row r="17" spans="1:9" x14ac:dyDescent="0.2">
      <c r="F17" t="s">
        <v>153</v>
      </c>
      <c r="G17" s="81">
        <f>G13-R4+G16</f>
        <v>52400.36</v>
      </c>
    </row>
    <row r="18" spans="1:9" x14ac:dyDescent="0.2">
      <c r="G18" s="81"/>
    </row>
    <row r="19" spans="1:9" x14ac:dyDescent="0.2">
      <c r="G19" s="81"/>
    </row>
    <row r="20" spans="1:9" x14ac:dyDescent="0.2">
      <c r="G20" s="81"/>
    </row>
    <row r="26" spans="1:9" x14ac:dyDescent="0.2">
      <c r="E26" s="264" t="s">
        <v>174</v>
      </c>
      <c r="F26" s="264"/>
      <c r="G26">
        <v>215000</v>
      </c>
      <c r="H26" s="61">
        <v>3.4799999999999998E-2</v>
      </c>
      <c r="I26">
        <f>G26*H26</f>
        <v>7481.9999999999991</v>
      </c>
    </row>
    <row r="27" spans="1:9" x14ac:dyDescent="0.2">
      <c r="I27">
        <f>I26/12</f>
        <v>623.49999999999989</v>
      </c>
    </row>
    <row r="28" spans="1:9" x14ac:dyDescent="0.2">
      <c r="I28">
        <f>I27*7</f>
        <v>4364.4999999999991</v>
      </c>
    </row>
    <row r="32" spans="1:9" x14ac:dyDescent="0.2">
      <c r="A32" t="s">
        <v>164</v>
      </c>
      <c r="B32">
        <v>79.88</v>
      </c>
      <c r="C32" t="s">
        <v>167</v>
      </c>
    </row>
    <row r="33" spans="1:15" x14ac:dyDescent="0.2">
      <c r="C33" s="3" t="s">
        <v>170</v>
      </c>
      <c r="D33" s="4"/>
      <c r="E33" s="1" t="s">
        <v>170</v>
      </c>
      <c r="F33" s="4"/>
      <c r="G33" s="1" t="s">
        <v>170</v>
      </c>
      <c r="H33" s="13"/>
      <c r="I33" s="217" t="s">
        <v>170</v>
      </c>
      <c r="J33" s="13"/>
      <c r="K33" s="217" t="s">
        <v>170</v>
      </c>
      <c r="L33" s="95"/>
      <c r="M33" s="96" t="s">
        <v>170</v>
      </c>
      <c r="O33" s="3" t="s">
        <v>170</v>
      </c>
    </row>
    <row r="34" spans="1:15" x14ac:dyDescent="0.2">
      <c r="A34" t="s">
        <v>165</v>
      </c>
      <c r="B34" s="81">
        <v>10</v>
      </c>
      <c r="C34" s="81">
        <f>B34*0.66</f>
        <v>6.6000000000000005</v>
      </c>
      <c r="D34" s="92">
        <v>11</v>
      </c>
      <c r="E34" s="92">
        <f>D34*0.66</f>
        <v>7.2600000000000007</v>
      </c>
      <c r="F34" s="92">
        <v>11.5</v>
      </c>
      <c r="G34" s="92">
        <f>F34*0.66</f>
        <v>7.5900000000000007</v>
      </c>
      <c r="H34" s="218">
        <v>12.23</v>
      </c>
      <c r="I34" s="218">
        <f>H34*0.66</f>
        <v>8.0718000000000014</v>
      </c>
      <c r="J34" s="218">
        <v>12.91</v>
      </c>
      <c r="K34" s="218">
        <f>J34*0.66</f>
        <v>8.5206</v>
      </c>
      <c r="L34" s="94">
        <v>13</v>
      </c>
      <c r="M34" s="94">
        <f>L34*0.66</f>
        <v>8.58</v>
      </c>
      <c r="N34" s="81">
        <v>14</v>
      </c>
      <c r="O34" s="81">
        <f>N34*0.66</f>
        <v>9.24</v>
      </c>
    </row>
    <row r="35" spans="1:15" x14ac:dyDescent="0.2">
      <c r="A35" t="s">
        <v>166</v>
      </c>
      <c r="B35" s="30">
        <f>B34*$B32</f>
        <v>798.8</v>
      </c>
      <c r="C35" s="81">
        <f t="shared" ref="C35:E41" si="1">B35*0.66</f>
        <v>527.20799999999997</v>
      </c>
      <c r="D35" s="32">
        <f>D34*$B32</f>
        <v>878.68</v>
      </c>
      <c r="E35" s="92">
        <f t="shared" si="1"/>
        <v>579.92880000000002</v>
      </c>
      <c r="F35" s="32">
        <f>F34*$B32</f>
        <v>918.61999999999989</v>
      </c>
      <c r="G35" s="92">
        <f t="shared" ref="G35:G36" si="2">F35*0.66</f>
        <v>606.28919999999994</v>
      </c>
      <c r="H35" s="31">
        <f>H34*$B32</f>
        <v>976.93240000000003</v>
      </c>
      <c r="I35" s="218">
        <f t="shared" ref="I35" si="3">H35*0.66</f>
        <v>644.77538400000003</v>
      </c>
      <c r="J35" s="31">
        <f>J34*$B32</f>
        <v>1031.2508</v>
      </c>
      <c r="K35" s="218">
        <f t="shared" ref="K35:K36" si="4">J35*0.66</f>
        <v>680.62552800000003</v>
      </c>
      <c r="L35" s="97">
        <f>L34*$B32</f>
        <v>1038.44</v>
      </c>
      <c r="M35" s="94">
        <f t="shared" ref="M35:O35" si="5">L35*0.66</f>
        <v>685.37040000000002</v>
      </c>
      <c r="N35" s="30">
        <f>N34*$B32</f>
        <v>1118.32</v>
      </c>
      <c r="O35" s="81">
        <f t="shared" si="5"/>
        <v>738.09119999999996</v>
      </c>
    </row>
    <row r="36" spans="1:15" x14ac:dyDescent="0.2">
      <c r="A36" t="s">
        <v>168</v>
      </c>
      <c r="B36" s="30">
        <v>60</v>
      </c>
      <c r="C36" s="81">
        <f t="shared" si="1"/>
        <v>39.6</v>
      </c>
      <c r="D36" s="32">
        <v>60</v>
      </c>
      <c r="E36" s="92">
        <f>D36*0.66</f>
        <v>39.6</v>
      </c>
      <c r="F36" s="32">
        <v>60</v>
      </c>
      <c r="G36" s="92">
        <f t="shared" si="2"/>
        <v>39.6</v>
      </c>
      <c r="H36" s="31">
        <v>60</v>
      </c>
      <c r="I36" s="218">
        <f t="shared" ref="I36" si="6">H36*0.66</f>
        <v>39.6</v>
      </c>
      <c r="J36" s="31"/>
      <c r="K36" s="218">
        <f t="shared" si="4"/>
        <v>0</v>
      </c>
      <c r="L36" s="97">
        <v>60</v>
      </c>
      <c r="M36" s="94">
        <f t="shared" ref="M36:O36" si="7">L36*0.66</f>
        <v>39.6</v>
      </c>
      <c r="N36" s="30">
        <v>60</v>
      </c>
      <c r="O36" s="81">
        <f t="shared" si="7"/>
        <v>39.6</v>
      </c>
    </row>
    <row r="37" spans="1:15" x14ac:dyDescent="0.2">
      <c r="A37" s="3" t="s">
        <v>227</v>
      </c>
      <c r="B37" s="91">
        <f>SUM(B35:B36)</f>
        <v>858.8</v>
      </c>
      <c r="C37" s="91">
        <f>SUM(C35:C36)</f>
        <v>566.80799999999999</v>
      </c>
      <c r="D37" s="138">
        <f t="shared" ref="D37:O37" si="8">SUM(D35:D36)</f>
        <v>938.68</v>
      </c>
      <c r="E37" s="138">
        <f t="shared" si="8"/>
        <v>619.52880000000005</v>
      </c>
      <c r="F37" s="138">
        <f t="shared" ref="F37:G37" si="9">SUM(F35:F36)</f>
        <v>978.61999999999989</v>
      </c>
      <c r="G37" s="138">
        <f t="shared" si="9"/>
        <v>645.88919999999996</v>
      </c>
      <c r="H37" s="219">
        <f t="shared" si="8"/>
        <v>1036.9324000000001</v>
      </c>
      <c r="I37" s="219">
        <f t="shared" si="8"/>
        <v>684.37538400000005</v>
      </c>
      <c r="J37" s="219">
        <f t="shared" ref="J37:K37" si="10">SUM(J35:J36)</f>
        <v>1031.2508</v>
      </c>
      <c r="K37" s="219">
        <f t="shared" si="10"/>
        <v>680.62552800000003</v>
      </c>
      <c r="L37" s="140">
        <f t="shared" si="8"/>
        <v>1098.44</v>
      </c>
      <c r="M37" s="140">
        <f t="shared" si="8"/>
        <v>724.97040000000004</v>
      </c>
      <c r="N37" s="91">
        <f t="shared" si="8"/>
        <v>1178.32</v>
      </c>
      <c r="O37" s="91">
        <f t="shared" si="8"/>
        <v>777.69119999999998</v>
      </c>
    </row>
    <row r="38" spans="1:15" x14ac:dyDescent="0.2">
      <c r="A38" s="3" t="s">
        <v>315</v>
      </c>
      <c r="B38" s="91"/>
      <c r="C38" s="229">
        <f>700/B37</f>
        <v>0.81509082440614811</v>
      </c>
      <c r="D38" s="138"/>
      <c r="E38" s="230">
        <f>700/D37</f>
        <v>0.74572804363574385</v>
      </c>
      <c r="F38" s="138"/>
      <c r="G38" s="230">
        <f>700/F37</f>
        <v>0.71529296356093286</v>
      </c>
      <c r="H38" s="219"/>
      <c r="I38" s="228">
        <f>700/H37</f>
        <v>0.67506811437274017</v>
      </c>
      <c r="J38" s="219"/>
      <c r="K38" s="228">
        <f>700/J37</f>
        <v>0.67878735221344799</v>
      </c>
      <c r="L38" s="140"/>
      <c r="M38" s="231">
        <f>700/L37</f>
        <v>0.63726739739994898</v>
      </c>
      <c r="N38" s="91"/>
      <c r="O38" s="229">
        <f>700/N37</f>
        <v>0.59406612804671055</v>
      </c>
    </row>
    <row r="39" spans="1:15" x14ac:dyDescent="0.2">
      <c r="A39" s="3" t="s">
        <v>316</v>
      </c>
      <c r="B39" s="91"/>
      <c r="C39" s="229">
        <f>750/B37</f>
        <v>0.87331159757801591</v>
      </c>
      <c r="D39" s="138"/>
      <c r="E39" s="230">
        <f>750/D37</f>
        <v>0.79899433246686846</v>
      </c>
      <c r="F39" s="138"/>
      <c r="G39" s="230">
        <f>750/F37</f>
        <v>0.76638531810099941</v>
      </c>
      <c r="H39" s="219"/>
      <c r="I39" s="228">
        <f>750/H37</f>
        <v>0.72328726539936439</v>
      </c>
      <c r="J39" s="219"/>
      <c r="K39" s="228">
        <f>750/J37</f>
        <v>0.72727216308583709</v>
      </c>
      <c r="L39" s="140"/>
      <c r="M39" s="231">
        <f>750/L37</f>
        <v>0.68278649721423101</v>
      </c>
      <c r="N39" s="91"/>
      <c r="O39" s="229">
        <f>750/N37</f>
        <v>0.63649942290718997</v>
      </c>
    </row>
    <row r="40" spans="1:15" x14ac:dyDescent="0.2">
      <c r="A40" t="s">
        <v>103</v>
      </c>
      <c r="B40" s="30">
        <v>160</v>
      </c>
      <c r="C40" s="81" t="s">
        <v>314</v>
      </c>
      <c r="D40" s="32">
        <v>160</v>
      </c>
      <c r="E40" s="92" t="s">
        <v>314</v>
      </c>
      <c r="F40" s="32">
        <v>160</v>
      </c>
      <c r="G40" s="92" t="s">
        <v>314</v>
      </c>
      <c r="H40" s="31">
        <v>160</v>
      </c>
      <c r="I40" s="218" t="s">
        <v>314</v>
      </c>
      <c r="J40" s="31">
        <v>160</v>
      </c>
      <c r="K40" s="218" t="s">
        <v>314</v>
      </c>
      <c r="L40" s="97">
        <v>160</v>
      </c>
      <c r="M40" s="94" t="s">
        <v>314</v>
      </c>
      <c r="N40" s="30">
        <v>160</v>
      </c>
      <c r="O40" s="81" t="s">
        <v>314</v>
      </c>
    </row>
    <row r="41" spans="1:15" x14ac:dyDescent="0.2">
      <c r="A41" s="3" t="s">
        <v>169</v>
      </c>
      <c r="B41" s="91">
        <f>SUM(B37:B40)</f>
        <v>1018.8</v>
      </c>
      <c r="C41" s="137">
        <f t="shared" si="1"/>
        <v>672.40800000000002</v>
      </c>
      <c r="D41" s="138">
        <f t="shared" ref="D41:F41" si="11">SUM(D37:D40)</f>
        <v>1098.6799999999998</v>
      </c>
      <c r="E41" s="139">
        <f>D41*0.66</f>
        <v>725.12879999999996</v>
      </c>
      <c r="F41" s="138">
        <f t="shared" si="11"/>
        <v>1138.6199999999999</v>
      </c>
      <c r="G41" s="139">
        <f>F41*0.66</f>
        <v>751.48919999999998</v>
      </c>
      <c r="H41" s="219">
        <f t="shared" ref="H41:J41" si="12">SUM(H37:H40)</f>
        <v>1196.9324000000001</v>
      </c>
      <c r="I41" s="220">
        <f t="shared" ref="I41" si="13">H41*0.66</f>
        <v>789.97538400000008</v>
      </c>
      <c r="J41" s="219">
        <f t="shared" si="12"/>
        <v>1191.2508</v>
      </c>
      <c r="K41" s="220">
        <f t="shared" ref="K41" si="14">J41*0.66</f>
        <v>786.22552800000005</v>
      </c>
      <c r="L41" s="140">
        <f t="shared" ref="L41" si="15">SUM(L37:L40)</f>
        <v>1258.44</v>
      </c>
      <c r="M41" s="141">
        <f t="shared" ref="M41:O41" si="16">L41*0.66</f>
        <v>830.57040000000006</v>
      </c>
      <c r="N41" s="91">
        <f t="shared" ref="N41" si="17">SUM(N37:N40)</f>
        <v>1338.32</v>
      </c>
      <c r="O41" s="137">
        <f t="shared" si="16"/>
        <v>883.2912</v>
      </c>
    </row>
    <row r="42" spans="1:15" ht="18" x14ac:dyDescent="0.25">
      <c r="A42" t="s">
        <v>170</v>
      </c>
      <c r="B42" s="81">
        <f>B41*0.66</f>
        <v>672.40800000000002</v>
      </c>
      <c r="C42" s="225">
        <f>860/B41</f>
        <v>0.84413034943070286</v>
      </c>
      <c r="D42" s="92">
        <f>D41*0.66</f>
        <v>725.12879999999996</v>
      </c>
      <c r="E42" s="224">
        <f>860/D41</f>
        <v>0.78275749080715051</v>
      </c>
      <c r="F42" s="92">
        <f>F41*0.66</f>
        <v>751.48919999999998</v>
      </c>
      <c r="G42" s="224">
        <f>860/F41</f>
        <v>0.75530027577242631</v>
      </c>
      <c r="H42" s="222">
        <f>H41*0.66</f>
        <v>789.97538400000008</v>
      </c>
      <c r="I42" s="223">
        <f>860/H41</f>
        <v>0.71850340086039943</v>
      </c>
      <c r="J42" s="222">
        <f>J41*0.66</f>
        <v>786.22552800000005</v>
      </c>
      <c r="K42" s="223">
        <f>860/J41</f>
        <v>0.72193026019373918</v>
      </c>
      <c r="L42" s="94">
        <f>L41*0.66</f>
        <v>830.57040000000006</v>
      </c>
      <c r="M42" s="226">
        <f>860/L41</f>
        <v>0.68338577921871524</v>
      </c>
      <c r="N42" s="81">
        <f>N41*0.66</f>
        <v>883.2912</v>
      </c>
      <c r="O42" s="225">
        <f>860/N41</f>
        <v>0.64259668838543849</v>
      </c>
    </row>
    <row r="43" spans="1:15" x14ac:dyDescent="0.2">
      <c r="D43" s="4"/>
      <c r="E43" s="4"/>
      <c r="F43" s="4"/>
      <c r="G43" s="4"/>
      <c r="H43" s="13"/>
      <c r="I43" s="13"/>
      <c r="J43" s="13"/>
      <c r="K43" s="13"/>
      <c r="L43" s="95"/>
      <c r="M43" s="95"/>
    </row>
    <row r="44" spans="1:15" x14ac:dyDescent="0.2">
      <c r="A44" t="s">
        <v>172</v>
      </c>
      <c r="B44" s="90">
        <v>810</v>
      </c>
      <c r="D44" s="93">
        <v>810</v>
      </c>
      <c r="E44" s="4"/>
      <c r="F44" s="93">
        <v>810</v>
      </c>
      <c r="G44" s="4"/>
      <c r="H44" s="221">
        <v>810</v>
      </c>
      <c r="I44" s="13"/>
      <c r="J44" s="221">
        <v>810</v>
      </c>
      <c r="K44" s="13"/>
      <c r="L44" s="98">
        <v>810</v>
      </c>
      <c r="M44" s="95"/>
      <c r="N44" s="90">
        <v>810</v>
      </c>
    </row>
    <row r="45" spans="1:15" x14ac:dyDescent="0.2">
      <c r="A45" t="s">
        <v>171</v>
      </c>
      <c r="B45" s="30">
        <f>B42-B44</f>
        <v>-137.59199999999998</v>
      </c>
      <c r="D45" s="32">
        <f>D42-D44</f>
        <v>-84.871200000000044</v>
      </c>
      <c r="E45" s="4"/>
      <c r="F45" s="32">
        <f>F42-F44</f>
        <v>-58.510800000000017</v>
      </c>
      <c r="G45" s="4"/>
      <c r="H45" s="31">
        <f>H42-H44</f>
        <v>-20.024615999999924</v>
      </c>
      <c r="I45" s="13"/>
      <c r="J45" s="31">
        <f>J42-J44</f>
        <v>-23.774471999999946</v>
      </c>
      <c r="K45" s="13"/>
      <c r="L45" s="97">
        <f>L42-L44</f>
        <v>20.570400000000063</v>
      </c>
      <c r="M45" s="95"/>
      <c r="N45" s="30">
        <f>N42-N44</f>
        <v>73.291200000000003</v>
      </c>
    </row>
    <row r="46" spans="1:15" x14ac:dyDescent="0.2">
      <c r="D46" s="4"/>
      <c r="E46" s="4"/>
      <c r="F46" s="4"/>
      <c r="G46" s="4"/>
      <c r="H46" s="13"/>
      <c r="I46" s="13"/>
      <c r="J46" s="13"/>
      <c r="K46" s="13"/>
      <c r="L46" s="95"/>
      <c r="M46" s="95"/>
    </row>
    <row r="47" spans="1:15" x14ac:dyDescent="0.2">
      <c r="A47" t="s">
        <v>173</v>
      </c>
      <c r="B47" s="90">
        <v>900</v>
      </c>
      <c r="D47" s="93">
        <v>900</v>
      </c>
      <c r="E47" s="4"/>
      <c r="F47" s="93">
        <v>900</v>
      </c>
      <c r="G47" s="4"/>
      <c r="H47" s="221">
        <v>900</v>
      </c>
      <c r="I47" s="13"/>
      <c r="J47" s="221">
        <v>900</v>
      </c>
      <c r="K47" s="13"/>
      <c r="L47" s="98">
        <v>900</v>
      </c>
      <c r="M47" s="95"/>
      <c r="N47" s="90">
        <v>900</v>
      </c>
    </row>
    <row r="48" spans="1:15" x14ac:dyDescent="0.2">
      <c r="A48" t="s">
        <v>171</v>
      </c>
      <c r="B48" s="81">
        <f>B42-B47</f>
        <v>-227.59199999999998</v>
      </c>
      <c r="D48" s="92">
        <f t="shared" ref="D48:F48" si="18">D42-D47</f>
        <v>-174.87120000000004</v>
      </c>
      <c r="E48" s="4"/>
      <c r="F48" s="92">
        <f t="shared" si="18"/>
        <v>-148.51080000000002</v>
      </c>
      <c r="G48" s="4"/>
      <c r="H48" s="218">
        <f>H42-H47</f>
        <v>-110.02461599999992</v>
      </c>
      <c r="I48" s="13"/>
      <c r="J48" s="218">
        <f>J42-J47</f>
        <v>-113.77447199999995</v>
      </c>
      <c r="K48" s="13"/>
      <c r="L48" s="94">
        <f>L42-L47</f>
        <v>-69.429599999999937</v>
      </c>
      <c r="M48" s="95"/>
      <c r="N48" s="81">
        <f>N42-N47</f>
        <v>-16.708799999999997</v>
      </c>
    </row>
    <row r="49" spans="1:15" x14ac:dyDescent="0.2">
      <c r="D49" s="4"/>
      <c r="E49" s="4"/>
      <c r="F49" s="4"/>
      <c r="G49" s="4"/>
      <c r="H49" s="13"/>
      <c r="I49" s="13"/>
      <c r="J49" s="13"/>
      <c r="K49" s="13"/>
      <c r="L49" s="95"/>
      <c r="M49" s="95"/>
    </row>
    <row r="50" spans="1:15" x14ac:dyDescent="0.2">
      <c r="A50" t="s">
        <v>173</v>
      </c>
      <c r="B50" s="90">
        <v>950</v>
      </c>
      <c r="D50" s="93">
        <v>950</v>
      </c>
      <c r="E50" s="4"/>
      <c r="F50" s="93">
        <v>950</v>
      </c>
      <c r="G50" s="4"/>
      <c r="H50" s="221">
        <v>950</v>
      </c>
      <c r="I50" s="13"/>
      <c r="J50" s="221">
        <v>950</v>
      </c>
      <c r="K50" s="13"/>
      <c r="L50" s="98">
        <v>950</v>
      </c>
      <c r="M50" s="95"/>
      <c r="N50" s="90">
        <v>950</v>
      </c>
    </row>
    <row r="51" spans="1:15" x14ac:dyDescent="0.2">
      <c r="A51" t="s">
        <v>171</v>
      </c>
      <c r="B51" s="81">
        <f>B42-B50</f>
        <v>-277.59199999999998</v>
      </c>
      <c r="D51" s="92">
        <f t="shared" ref="D51:F51" si="19">D42-D50</f>
        <v>-224.87120000000004</v>
      </c>
      <c r="E51" s="4"/>
      <c r="F51" s="92">
        <f t="shared" si="19"/>
        <v>-198.51080000000002</v>
      </c>
      <c r="G51" s="4"/>
      <c r="H51" s="218">
        <f>H42-H50</f>
        <v>-160.02461599999992</v>
      </c>
      <c r="I51" s="13"/>
      <c r="J51" s="218">
        <f>J42-J50</f>
        <v>-163.77447199999995</v>
      </c>
      <c r="K51" s="13"/>
      <c r="L51" s="94">
        <f>L42-L50</f>
        <v>-119.42959999999994</v>
      </c>
      <c r="M51" s="95"/>
      <c r="N51" s="81">
        <f>N42-N50</f>
        <v>-66.708799999999997</v>
      </c>
    </row>
    <row r="53" spans="1:15" x14ac:dyDescent="0.2">
      <c r="A53" t="s">
        <v>176</v>
      </c>
      <c r="B53" s="81">
        <f>B35-650</f>
        <v>148.79999999999995</v>
      </c>
      <c r="C53" s="81">
        <f>B53*12</f>
        <v>1785.5999999999995</v>
      </c>
      <c r="D53" s="81">
        <f>D35-650</f>
        <v>228.67999999999995</v>
      </c>
      <c r="E53" s="81">
        <f>D53*12</f>
        <v>2744.1599999999994</v>
      </c>
      <c r="F53" s="81">
        <f>F35-650</f>
        <v>268.61999999999989</v>
      </c>
      <c r="G53" s="81">
        <f>F53*12</f>
        <v>3223.4399999999987</v>
      </c>
      <c r="H53" s="81">
        <f>H35-650</f>
        <v>326.93240000000003</v>
      </c>
      <c r="I53" s="81">
        <f>H53*12</f>
        <v>3923.1888000000004</v>
      </c>
      <c r="J53" s="81">
        <f>J35-650</f>
        <v>381.25080000000003</v>
      </c>
      <c r="K53" s="81">
        <f>J53*12</f>
        <v>4575.0096000000003</v>
      </c>
      <c r="L53" s="81">
        <f>L35-650</f>
        <v>388.44000000000005</v>
      </c>
      <c r="M53" s="81">
        <f>L53*12</f>
        <v>4661.2800000000007</v>
      </c>
      <c r="N53" s="81">
        <f>N35-650</f>
        <v>468.31999999999994</v>
      </c>
      <c r="O53" s="81">
        <f>N53*12</f>
        <v>5619.8399999999992</v>
      </c>
    </row>
    <row r="54" spans="1:15" x14ac:dyDescent="0.2">
      <c r="A54" t="s">
        <v>177</v>
      </c>
      <c r="C54" s="94">
        <f>C53*15</f>
        <v>26783.999999999993</v>
      </c>
      <c r="E54" s="94">
        <f>E53*15</f>
        <v>41162.399999999994</v>
      </c>
      <c r="G54" s="94">
        <f>G53*15</f>
        <v>48351.599999999977</v>
      </c>
      <c r="I54" s="94">
        <f>I53*15</f>
        <v>58847.832000000002</v>
      </c>
      <c r="K54" s="94">
        <f>K53*15</f>
        <v>68625.144</v>
      </c>
      <c r="M54" s="94">
        <f>M53*15</f>
        <v>69919.200000000012</v>
      </c>
      <c r="O54" s="94">
        <f>O53*15</f>
        <v>84297.599999999991</v>
      </c>
    </row>
    <row r="55" spans="1:15" ht="15" thickBot="1" x14ac:dyDescent="0.25"/>
    <row r="56" spans="1:15" x14ac:dyDescent="0.2">
      <c r="A56" s="99" t="s">
        <v>164</v>
      </c>
      <c r="B56" s="100">
        <v>75</v>
      </c>
      <c r="C56" s="100" t="s">
        <v>167</v>
      </c>
      <c r="D56" s="100"/>
      <c r="E56" s="100">
        <v>79.88</v>
      </c>
      <c r="F56" s="101" t="s">
        <v>167</v>
      </c>
    </row>
    <row r="57" spans="1:15" x14ac:dyDescent="0.2">
      <c r="A57" s="102"/>
      <c r="C57" s="3" t="s">
        <v>170</v>
      </c>
      <c r="F57" s="103" t="s">
        <v>170</v>
      </c>
    </row>
    <row r="58" spans="1:15" x14ac:dyDescent="0.2">
      <c r="A58" s="102" t="s">
        <v>165</v>
      </c>
      <c r="B58" s="104">
        <f>B59/B56</f>
        <v>13.2</v>
      </c>
      <c r="C58" s="81">
        <f>B58*0.66</f>
        <v>8.7119999999999997</v>
      </c>
      <c r="E58" s="104">
        <v>13.2</v>
      </c>
      <c r="F58" s="105">
        <f>E58*0.66</f>
        <v>8.7119999999999997</v>
      </c>
    </row>
    <row r="59" spans="1:15" x14ac:dyDescent="0.2">
      <c r="A59" s="102" t="s">
        <v>166</v>
      </c>
      <c r="B59" s="30">
        <v>990</v>
      </c>
      <c r="C59" s="81">
        <f t="shared" ref="C59:C61" si="20">B59*0.66</f>
        <v>653.4</v>
      </c>
      <c r="E59" s="30">
        <f>E58*E56</f>
        <v>1054.4159999999999</v>
      </c>
      <c r="F59" s="105">
        <f t="shared" ref="F59:F61" si="21">E59*0.66</f>
        <v>695.91455999999994</v>
      </c>
    </row>
    <row r="60" spans="1:15" x14ac:dyDescent="0.2">
      <c r="A60" s="102" t="s">
        <v>103</v>
      </c>
      <c r="B60" s="30">
        <v>160</v>
      </c>
      <c r="C60" s="81"/>
      <c r="E60" s="30">
        <v>160</v>
      </c>
      <c r="F60" s="105"/>
    </row>
    <row r="61" spans="1:15" ht="15" thickBot="1" x14ac:dyDescent="0.25">
      <c r="A61" s="106" t="s">
        <v>169</v>
      </c>
      <c r="B61" s="107">
        <f>SUM(B58:B60)</f>
        <v>1163.2</v>
      </c>
      <c r="C61" s="108">
        <f t="shared" si="20"/>
        <v>767.7120000000001</v>
      </c>
      <c r="D61" s="109"/>
      <c r="E61" s="107">
        <f>SUM(E58:E60)</f>
        <v>1227.616</v>
      </c>
      <c r="F61" s="110">
        <f t="shared" si="21"/>
        <v>810.22656000000006</v>
      </c>
    </row>
  </sheetData>
  <mergeCells count="1">
    <mergeCell ref="E26:F26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51ED-15C1-4B83-AB92-85F8416871A3}">
  <dimension ref="A1:AE83"/>
  <sheetViews>
    <sheetView zoomScale="115" zoomScaleNormal="115" workbookViewId="0">
      <pane xSplit="1" topLeftCell="B1" activePane="topRight" state="frozen"/>
      <selection activeCell="A13" sqref="A13"/>
      <selection pane="topRight" activeCell="E14" sqref="E14"/>
    </sheetView>
  </sheetViews>
  <sheetFormatPr baseColWidth="10" defaultRowHeight="14.25" x14ac:dyDescent="0.2"/>
  <cols>
    <col min="1" max="1" width="49.125" bestFit="1" customWidth="1"/>
    <col min="2" max="2" width="16.25" style="7" customWidth="1"/>
    <col min="3" max="3" width="16.25" customWidth="1"/>
    <col min="4" max="4" width="21.125" bestFit="1" customWidth="1"/>
    <col min="5" max="31" width="16.25" customWidth="1"/>
  </cols>
  <sheetData>
    <row r="1" spans="1:16" x14ac:dyDescent="0.2">
      <c r="A1" t="s">
        <v>69</v>
      </c>
      <c r="E1" s="3" t="s">
        <v>235</v>
      </c>
    </row>
    <row r="2" spans="1:16" x14ac:dyDescent="0.2">
      <c r="D2" s="237" t="s">
        <v>53</v>
      </c>
      <c r="E2" s="251">
        <v>45300</v>
      </c>
    </row>
    <row r="3" spans="1:16" x14ac:dyDescent="0.2">
      <c r="D3" s="67" t="s">
        <v>327</v>
      </c>
      <c r="E3" s="243">
        <f>E2-E34</f>
        <v>-2634</v>
      </c>
    </row>
    <row r="4" spans="1:16" x14ac:dyDescent="0.2">
      <c r="A4" t="s">
        <v>70</v>
      </c>
      <c r="B4" s="7">
        <v>322000</v>
      </c>
      <c r="D4" s="67" t="s">
        <v>326</v>
      </c>
      <c r="E4" s="247">
        <f>E3/E2</f>
        <v>-5.8145695364238408E-2</v>
      </c>
      <c r="J4" s="64"/>
      <c r="K4" s="64"/>
      <c r="N4" s="64" t="s">
        <v>102</v>
      </c>
      <c r="O4" s="64">
        <v>1350</v>
      </c>
      <c r="P4" s="64">
        <v>1350</v>
      </c>
    </row>
    <row r="5" spans="1:16" x14ac:dyDescent="0.2">
      <c r="A5" t="s">
        <v>228</v>
      </c>
      <c r="B5" s="7">
        <v>38000</v>
      </c>
      <c r="D5" s="238" t="s">
        <v>328</v>
      </c>
      <c r="E5" s="252">
        <v>132319</v>
      </c>
      <c r="J5" s="64"/>
      <c r="K5" s="64"/>
      <c r="N5" s="64" t="s">
        <v>103</v>
      </c>
      <c r="O5" s="64">
        <v>80</v>
      </c>
      <c r="P5" s="64">
        <v>80</v>
      </c>
    </row>
    <row r="6" spans="1:16" x14ac:dyDescent="0.2">
      <c r="A6" t="s">
        <v>49</v>
      </c>
      <c r="B6" s="7">
        <v>19800</v>
      </c>
      <c r="D6" s="239" t="s">
        <v>327</v>
      </c>
      <c r="E6" s="244">
        <f>E5-E39</f>
        <v>-6813.070000000007</v>
      </c>
      <c r="J6" s="65"/>
      <c r="K6" s="65"/>
      <c r="N6" s="64" t="s">
        <v>109</v>
      </c>
      <c r="O6" s="64">
        <v>140</v>
      </c>
      <c r="P6" s="64">
        <v>140</v>
      </c>
    </row>
    <row r="7" spans="1:16" x14ac:dyDescent="0.2">
      <c r="A7" t="s">
        <v>50</v>
      </c>
      <c r="B7" s="7">
        <f>SUM(B4:B6)</f>
        <v>379800</v>
      </c>
      <c r="D7" s="239" t="s">
        <v>326</v>
      </c>
      <c r="E7" s="248">
        <f>E6/E5</f>
        <v>-5.148973314489988E-2</v>
      </c>
      <c r="N7" s="65" t="s">
        <v>104</v>
      </c>
      <c r="O7" s="65">
        <f>SUM(O4:O6)</f>
        <v>1570</v>
      </c>
      <c r="P7" s="65">
        <f>SUM(P4:P6)</f>
        <v>1570</v>
      </c>
    </row>
    <row r="8" spans="1:16" x14ac:dyDescent="0.2">
      <c r="D8" s="240" t="s">
        <v>269</v>
      </c>
      <c r="E8" s="253">
        <v>69160</v>
      </c>
      <c r="N8" t="s">
        <v>105</v>
      </c>
      <c r="O8">
        <v>650</v>
      </c>
      <c r="P8">
        <v>650</v>
      </c>
    </row>
    <row r="9" spans="1:16" x14ac:dyDescent="0.2">
      <c r="A9" t="s">
        <v>51</v>
      </c>
      <c r="B9" s="7">
        <v>92000</v>
      </c>
      <c r="D9" s="241" t="s">
        <v>327</v>
      </c>
      <c r="E9" s="245">
        <f>E8-E42</f>
        <v>-16273.829822743966</v>
      </c>
      <c r="N9" t="s">
        <v>107</v>
      </c>
      <c r="O9">
        <v>300</v>
      </c>
      <c r="P9">
        <v>300</v>
      </c>
    </row>
    <row r="10" spans="1:16" x14ac:dyDescent="0.2">
      <c r="A10" t="s">
        <v>52</v>
      </c>
      <c r="B10" s="7">
        <f>B7-B9</f>
        <v>287800</v>
      </c>
      <c r="D10" s="241" t="s">
        <v>326</v>
      </c>
      <c r="E10" s="249">
        <f>E9/E8</f>
        <v>-0.23530696678345817</v>
      </c>
      <c r="N10" t="s">
        <v>106</v>
      </c>
      <c r="O10">
        <v>240</v>
      </c>
      <c r="P10">
        <v>240</v>
      </c>
    </row>
    <row r="11" spans="1:16" x14ac:dyDescent="0.2">
      <c r="A11" t="s">
        <v>55</v>
      </c>
      <c r="B11" s="61">
        <v>3.4799999999999998E-2</v>
      </c>
      <c r="D11" s="254" t="s">
        <v>329</v>
      </c>
      <c r="E11" s="255">
        <v>93933</v>
      </c>
      <c r="J11" s="3"/>
      <c r="K11" s="3"/>
      <c r="N11" t="s">
        <v>108</v>
      </c>
      <c r="O11">
        <v>70</v>
      </c>
      <c r="P11">
        <v>70</v>
      </c>
    </row>
    <row r="12" spans="1:16" x14ac:dyDescent="0.2">
      <c r="A12" t="s">
        <v>72</v>
      </c>
      <c r="B12" s="7">
        <v>1350</v>
      </c>
      <c r="D12" s="242" t="s">
        <v>327</v>
      </c>
      <c r="E12" s="246">
        <f>E11-E49</f>
        <v>-4662</v>
      </c>
      <c r="J12" s="64"/>
      <c r="K12" s="64"/>
      <c r="N12" t="s">
        <v>111</v>
      </c>
      <c r="O12">
        <v>150</v>
      </c>
    </row>
    <row r="13" spans="1:16" x14ac:dyDescent="0.2">
      <c r="A13" t="s">
        <v>229</v>
      </c>
      <c r="B13" s="7">
        <v>650</v>
      </c>
      <c r="D13" s="242" t="s">
        <v>326</v>
      </c>
      <c r="E13" s="250">
        <f>E12/E11</f>
        <v>-4.9631120053655262E-2</v>
      </c>
      <c r="J13" s="64"/>
      <c r="K13" s="64"/>
    </row>
    <row r="14" spans="1:16" x14ac:dyDescent="0.2">
      <c r="A14" t="s">
        <v>98</v>
      </c>
      <c r="B14" s="7">
        <v>32000</v>
      </c>
      <c r="D14" s="256" t="s">
        <v>330</v>
      </c>
      <c r="E14" s="257">
        <f>SUM(E3,E6,E9,E12)</f>
        <v>-30382.899822743973</v>
      </c>
      <c r="N14" t="s">
        <v>110</v>
      </c>
      <c r="O14">
        <v>75</v>
      </c>
    </row>
    <row r="15" spans="1:16" x14ac:dyDescent="0.2">
      <c r="A15" t="s">
        <v>78</v>
      </c>
      <c r="B15" s="7">
        <f>600*12</f>
        <v>7200</v>
      </c>
      <c r="D15" s="256" t="s">
        <v>331</v>
      </c>
      <c r="E15" s="258">
        <f>E14/E53</f>
        <v>-8.1873665839268001E-2</v>
      </c>
      <c r="J15" s="64"/>
      <c r="K15" s="64"/>
      <c r="M15" s="264" t="s">
        <v>113</v>
      </c>
      <c r="N15" s="264"/>
      <c r="O15" s="3">
        <f>O7-SUM(O8:O14)</f>
        <v>85</v>
      </c>
      <c r="P15" s="3">
        <f>P7-SUM(P8:P14)</f>
        <v>310</v>
      </c>
    </row>
    <row r="16" spans="1:16" x14ac:dyDescent="0.2">
      <c r="A16" t="s">
        <v>76</v>
      </c>
      <c r="B16" s="7">
        <f>B14-B15</f>
        <v>24800</v>
      </c>
      <c r="M16" s="264" t="s">
        <v>112</v>
      </c>
      <c r="N16" s="264"/>
      <c r="O16" s="3">
        <f>O15*12</f>
        <v>1020</v>
      </c>
      <c r="P16" s="3">
        <f>P15*12</f>
        <v>3720</v>
      </c>
    </row>
    <row r="17" spans="1:31" x14ac:dyDescent="0.2">
      <c r="A17" t="s">
        <v>93</v>
      </c>
      <c r="B17" s="7">
        <v>10000</v>
      </c>
    </row>
    <row r="18" spans="1:31" x14ac:dyDescent="0.2">
      <c r="A18" t="s">
        <v>94</v>
      </c>
      <c r="B18" s="7">
        <f>B16-B17</f>
        <v>14800</v>
      </c>
      <c r="C18" s="7" t="s">
        <v>101</v>
      </c>
      <c r="D18" s="7">
        <f>'Haushalt (Cash)'!G38</f>
        <v>11950</v>
      </c>
      <c r="I18" s="264"/>
      <c r="J18" s="264"/>
      <c r="K18" s="3"/>
    </row>
    <row r="19" spans="1:31" x14ac:dyDescent="0.2">
      <c r="A19" t="s">
        <v>230</v>
      </c>
      <c r="B19" s="62">
        <v>1.07</v>
      </c>
    </row>
    <row r="20" spans="1:31" x14ac:dyDescent="0.2">
      <c r="A20" t="s">
        <v>302</v>
      </c>
      <c r="B20" s="62">
        <v>1.05</v>
      </c>
    </row>
    <row r="28" spans="1:31" x14ac:dyDescent="0.2">
      <c r="A28" t="s">
        <v>53</v>
      </c>
      <c r="B28" s="7">
        <v>116000</v>
      </c>
    </row>
    <row r="29" spans="1:31" x14ac:dyDescent="0.2">
      <c r="A29" t="s">
        <v>54</v>
      </c>
      <c r="B29" s="7">
        <v>104600</v>
      </c>
    </row>
    <row r="31" spans="1:31" x14ac:dyDescent="0.2">
      <c r="A31" s="120" t="s">
        <v>289</v>
      </c>
      <c r="B31" s="178"/>
      <c r="C31" s="179"/>
      <c r="D31" s="179"/>
      <c r="E31" s="126">
        <v>37</v>
      </c>
      <c r="F31" s="120">
        <v>38</v>
      </c>
      <c r="G31" s="120">
        <v>39</v>
      </c>
      <c r="H31" s="120">
        <v>40</v>
      </c>
      <c r="I31" s="120">
        <v>41</v>
      </c>
      <c r="J31" s="120">
        <v>42</v>
      </c>
      <c r="K31" s="120">
        <v>43</v>
      </c>
      <c r="L31" s="120">
        <v>44</v>
      </c>
      <c r="M31" s="120">
        <v>45</v>
      </c>
      <c r="N31" s="120">
        <v>46</v>
      </c>
      <c r="O31" s="120">
        <v>47</v>
      </c>
      <c r="P31" s="120">
        <v>48</v>
      </c>
      <c r="Q31" s="120">
        <v>49</v>
      </c>
      <c r="R31" s="120">
        <v>50</v>
      </c>
      <c r="S31" s="120">
        <v>51</v>
      </c>
      <c r="T31" s="120">
        <v>52</v>
      </c>
      <c r="U31" s="120">
        <v>53</v>
      </c>
      <c r="V31" s="120">
        <v>54</v>
      </c>
      <c r="W31" s="120">
        <v>55</v>
      </c>
      <c r="X31" s="120">
        <v>56</v>
      </c>
      <c r="Y31" s="120">
        <v>57</v>
      </c>
      <c r="Z31" s="120">
        <v>58</v>
      </c>
      <c r="AA31" s="120">
        <v>59</v>
      </c>
      <c r="AB31" s="120">
        <v>60</v>
      </c>
      <c r="AC31" s="120">
        <v>61</v>
      </c>
      <c r="AD31" s="120">
        <v>62</v>
      </c>
      <c r="AE31" s="120">
        <v>63</v>
      </c>
    </row>
    <row r="32" spans="1:31" x14ac:dyDescent="0.2">
      <c r="A32" s="120"/>
      <c r="B32" s="180"/>
      <c r="C32" s="181"/>
      <c r="D32" s="181"/>
      <c r="E32" s="182">
        <v>1</v>
      </c>
      <c r="F32" s="117">
        <v>2</v>
      </c>
      <c r="G32" s="117">
        <v>3</v>
      </c>
      <c r="H32" s="117">
        <v>4</v>
      </c>
      <c r="I32" s="117">
        <v>5</v>
      </c>
      <c r="J32" s="117">
        <v>6</v>
      </c>
      <c r="K32" s="117">
        <v>7</v>
      </c>
      <c r="L32" s="117">
        <v>8</v>
      </c>
      <c r="M32" s="117">
        <v>9</v>
      </c>
      <c r="N32" s="117">
        <v>10</v>
      </c>
      <c r="O32" s="117">
        <v>11</v>
      </c>
      <c r="P32" s="117">
        <v>12</v>
      </c>
      <c r="Q32" s="117">
        <v>13</v>
      </c>
      <c r="R32" s="117">
        <v>14</v>
      </c>
      <c r="S32" s="117">
        <v>15</v>
      </c>
      <c r="T32" s="117">
        <v>16</v>
      </c>
      <c r="U32" s="117">
        <v>17</v>
      </c>
      <c r="V32" s="117">
        <v>18</v>
      </c>
      <c r="W32" s="117">
        <v>19</v>
      </c>
      <c r="X32" s="117">
        <v>20</v>
      </c>
      <c r="Y32" s="117">
        <v>21</v>
      </c>
      <c r="Z32" s="117">
        <v>22</v>
      </c>
      <c r="AA32" s="117">
        <v>23</v>
      </c>
      <c r="AB32" s="117">
        <v>24</v>
      </c>
      <c r="AC32" s="117">
        <v>25</v>
      </c>
      <c r="AD32" s="117">
        <v>26</v>
      </c>
      <c r="AE32" s="117">
        <v>27</v>
      </c>
    </row>
    <row r="33" spans="1:31" x14ac:dyDescent="0.2">
      <c r="A33" s="120"/>
      <c r="B33" s="181">
        <v>2025</v>
      </c>
      <c r="C33" s="181" t="s">
        <v>73</v>
      </c>
      <c r="D33" s="181" t="s">
        <v>74</v>
      </c>
      <c r="E33" s="182" t="s">
        <v>75</v>
      </c>
      <c r="F33" s="117" t="s">
        <v>79</v>
      </c>
      <c r="G33" s="117" t="s">
        <v>80</v>
      </c>
      <c r="H33" s="117" t="s">
        <v>81</v>
      </c>
      <c r="I33" s="117" t="s">
        <v>82</v>
      </c>
      <c r="J33" s="117" t="s">
        <v>83</v>
      </c>
      <c r="K33" s="117" t="s">
        <v>84</v>
      </c>
      <c r="L33" s="117" t="s">
        <v>85</v>
      </c>
      <c r="M33" s="117" t="s">
        <v>86</v>
      </c>
      <c r="N33" s="117" t="s">
        <v>87</v>
      </c>
      <c r="O33" s="117" t="s">
        <v>88</v>
      </c>
      <c r="P33" s="117" t="s">
        <v>89</v>
      </c>
      <c r="Q33" s="117" t="s">
        <v>90</v>
      </c>
      <c r="R33" s="117" t="s">
        <v>91</v>
      </c>
      <c r="S33" s="117" t="s">
        <v>92</v>
      </c>
      <c r="T33" s="117" t="s">
        <v>290</v>
      </c>
      <c r="U33" s="117" t="s">
        <v>291</v>
      </c>
      <c r="V33" s="117" t="s">
        <v>292</v>
      </c>
      <c r="W33" s="117" t="s">
        <v>293</v>
      </c>
      <c r="X33" s="117" t="s">
        <v>294</v>
      </c>
      <c r="Y33" s="117" t="s">
        <v>295</v>
      </c>
      <c r="Z33" s="117" t="s">
        <v>296</v>
      </c>
      <c r="AA33" s="117" t="s">
        <v>297</v>
      </c>
      <c r="AB33" s="117" t="s">
        <v>298</v>
      </c>
      <c r="AC33" s="117" t="s">
        <v>304</v>
      </c>
      <c r="AD33" s="117" t="s">
        <v>305</v>
      </c>
      <c r="AE33" s="117" t="s">
        <v>306</v>
      </c>
    </row>
    <row r="34" spans="1:31" s="214" customFormat="1" ht="15" x14ac:dyDescent="0.2">
      <c r="A34" s="204" t="s">
        <v>53</v>
      </c>
      <c r="B34" s="205">
        <f>B28</f>
        <v>116000</v>
      </c>
      <c r="C34" s="205">
        <f>B34-B9</f>
        <v>24000</v>
      </c>
      <c r="D34" s="205">
        <v>30000</v>
      </c>
      <c r="E34" s="207">
        <f>'Haushalt (Cash)'!C7</f>
        <v>47934</v>
      </c>
      <c r="F34" s="208">
        <f>E34+$D18</f>
        <v>59884</v>
      </c>
      <c r="G34" s="208">
        <f>F34-F35+$D18</f>
        <v>61950</v>
      </c>
      <c r="H34" s="208">
        <f>G34-G35+$D18</f>
        <v>61950</v>
      </c>
      <c r="I34" s="208">
        <f>H34-H35+$D18</f>
        <v>61950</v>
      </c>
      <c r="J34" s="208">
        <f t="shared" ref="J34:V34" si="0">I34-I35+$D18</f>
        <v>61950</v>
      </c>
      <c r="K34" s="208">
        <f t="shared" si="0"/>
        <v>61950</v>
      </c>
      <c r="L34" s="208">
        <f t="shared" si="0"/>
        <v>61950</v>
      </c>
      <c r="M34" s="208">
        <f t="shared" si="0"/>
        <v>61950</v>
      </c>
      <c r="N34" s="208">
        <f t="shared" si="0"/>
        <v>61950</v>
      </c>
      <c r="O34" s="208">
        <f t="shared" si="0"/>
        <v>61950</v>
      </c>
      <c r="P34" s="208">
        <f t="shared" si="0"/>
        <v>61950</v>
      </c>
      <c r="Q34" s="208">
        <f t="shared" si="0"/>
        <v>61950</v>
      </c>
      <c r="R34" s="208">
        <f t="shared" si="0"/>
        <v>61950</v>
      </c>
      <c r="S34" s="208">
        <f t="shared" si="0"/>
        <v>61950</v>
      </c>
      <c r="T34" s="208">
        <f t="shared" si="0"/>
        <v>61950</v>
      </c>
      <c r="U34" s="208">
        <f t="shared" si="0"/>
        <v>61950</v>
      </c>
      <c r="V34" s="208">
        <f t="shared" si="0"/>
        <v>61950</v>
      </c>
      <c r="W34" s="208">
        <f t="shared" ref="W34" si="1">V34-V35+$D18</f>
        <v>61950</v>
      </c>
      <c r="X34" s="208">
        <f t="shared" ref="X34" si="2">W34-W35+$D18</f>
        <v>61950</v>
      </c>
      <c r="Y34" s="208">
        <f t="shared" ref="Y34" si="3">X34-X35+$D18</f>
        <v>61950</v>
      </c>
      <c r="Z34" s="208">
        <f t="shared" ref="Z34" si="4">Y34-Y35+$D18</f>
        <v>61950</v>
      </c>
      <c r="AA34" s="208">
        <f t="shared" ref="AA34" si="5">Z34-Z35+$D18</f>
        <v>61950</v>
      </c>
      <c r="AB34" s="208">
        <f t="shared" ref="AB34:AE34" si="6">AA34-AA35+$D18</f>
        <v>61950</v>
      </c>
      <c r="AC34" s="208">
        <f t="shared" si="6"/>
        <v>61950</v>
      </c>
      <c r="AD34" s="208">
        <f t="shared" si="6"/>
        <v>61950</v>
      </c>
      <c r="AE34" s="208">
        <f t="shared" si="6"/>
        <v>61950</v>
      </c>
    </row>
    <row r="35" spans="1:31" x14ac:dyDescent="0.2">
      <c r="A35" s="117" t="s">
        <v>286</v>
      </c>
      <c r="B35" s="180"/>
      <c r="C35" s="180"/>
      <c r="D35" s="180"/>
      <c r="E35" s="183"/>
      <c r="F35" s="184">
        <f>F34-50000</f>
        <v>9884</v>
      </c>
      <c r="G35" s="184">
        <f>G34-50000</f>
        <v>11950</v>
      </c>
      <c r="H35" s="184">
        <f>H34-50000</f>
        <v>11950</v>
      </c>
      <c r="I35" s="184">
        <f>I34-50000</f>
        <v>11950</v>
      </c>
      <c r="J35" s="184">
        <f t="shared" ref="J35:T35" si="7">J34-50000</f>
        <v>11950</v>
      </c>
      <c r="K35" s="184">
        <f t="shared" si="7"/>
        <v>11950</v>
      </c>
      <c r="L35" s="184">
        <f t="shared" si="7"/>
        <v>11950</v>
      </c>
      <c r="M35" s="184">
        <f t="shared" si="7"/>
        <v>11950</v>
      </c>
      <c r="N35" s="184">
        <f t="shared" si="7"/>
        <v>11950</v>
      </c>
      <c r="O35" s="184">
        <f t="shared" si="7"/>
        <v>11950</v>
      </c>
      <c r="P35" s="184">
        <f t="shared" si="7"/>
        <v>11950</v>
      </c>
      <c r="Q35" s="184">
        <f t="shared" si="7"/>
        <v>11950</v>
      </c>
      <c r="R35" s="184">
        <f t="shared" si="7"/>
        <v>11950</v>
      </c>
      <c r="S35" s="184">
        <f t="shared" si="7"/>
        <v>11950</v>
      </c>
      <c r="T35" s="184">
        <f t="shared" si="7"/>
        <v>11950</v>
      </c>
      <c r="U35" s="184">
        <f t="shared" ref="U35:V35" si="8">U34-50000</f>
        <v>11950</v>
      </c>
      <c r="V35" s="184">
        <f t="shared" si="8"/>
        <v>11950</v>
      </c>
      <c r="W35" s="184">
        <f t="shared" ref="W35:AB35" si="9">W34-50000</f>
        <v>11950</v>
      </c>
      <c r="X35" s="184">
        <f t="shared" si="9"/>
        <v>11950</v>
      </c>
      <c r="Y35" s="184">
        <f t="shared" si="9"/>
        <v>11950</v>
      </c>
      <c r="Z35" s="184">
        <f t="shared" si="9"/>
        <v>11950</v>
      </c>
      <c r="AA35" s="184">
        <f t="shared" si="9"/>
        <v>11950</v>
      </c>
      <c r="AB35" s="184">
        <f t="shared" si="9"/>
        <v>11950</v>
      </c>
      <c r="AC35" s="184">
        <f t="shared" ref="AC35:AE35" si="10">AC34-50000</f>
        <v>11950</v>
      </c>
      <c r="AD35" s="184">
        <f t="shared" si="10"/>
        <v>11950</v>
      </c>
      <c r="AE35" s="184">
        <f t="shared" si="10"/>
        <v>11950</v>
      </c>
    </row>
    <row r="36" spans="1:31" x14ac:dyDescent="0.2">
      <c r="A36" s="120" t="s">
        <v>299</v>
      </c>
      <c r="B36" s="178"/>
      <c r="C36" s="179"/>
      <c r="D36" s="179"/>
      <c r="E36" s="126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85">
        <f>1350*9</f>
        <v>12150</v>
      </c>
      <c r="T36" s="185">
        <f>1350*12</f>
        <v>16200</v>
      </c>
      <c r="U36" s="185">
        <f>1350*12</f>
        <v>16200</v>
      </c>
      <c r="V36" s="185">
        <f>1350*12</f>
        <v>16200</v>
      </c>
      <c r="W36" s="185">
        <f t="shared" ref="W36:AE36" si="11">1350*12</f>
        <v>16200</v>
      </c>
      <c r="X36" s="185">
        <f t="shared" si="11"/>
        <v>16200</v>
      </c>
      <c r="Y36" s="185">
        <f t="shared" si="11"/>
        <v>16200</v>
      </c>
      <c r="Z36" s="185">
        <f t="shared" si="11"/>
        <v>16200</v>
      </c>
      <c r="AA36" s="185">
        <f t="shared" si="11"/>
        <v>16200</v>
      </c>
      <c r="AB36" s="185">
        <f t="shared" si="11"/>
        <v>16200</v>
      </c>
      <c r="AC36" s="185">
        <f t="shared" si="11"/>
        <v>16200</v>
      </c>
      <c r="AD36" s="185">
        <f t="shared" si="11"/>
        <v>16200</v>
      </c>
      <c r="AE36" s="185">
        <f t="shared" si="11"/>
        <v>16200</v>
      </c>
    </row>
    <row r="37" spans="1:31" x14ac:dyDescent="0.2">
      <c r="A37" s="120"/>
      <c r="B37" s="178"/>
      <c r="C37" s="179"/>
      <c r="D37" s="179"/>
      <c r="E37" s="126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</row>
    <row r="38" spans="1:31" x14ac:dyDescent="0.2">
      <c r="A38" s="120" t="s">
        <v>77</v>
      </c>
      <c r="B38" s="178">
        <v>104600</v>
      </c>
      <c r="C38" s="179"/>
      <c r="D38" s="178">
        <f>D39/1.07</f>
        <v>115234.57943925232</v>
      </c>
      <c r="E38" s="186">
        <f>D38+B15</f>
        <v>122434.57943925232</v>
      </c>
      <c r="F38" s="187">
        <f>E38+B15</f>
        <v>129634.57943925232</v>
      </c>
      <c r="G38" s="187">
        <f>F38+$B15+F35</f>
        <v>146718.57943925232</v>
      </c>
      <c r="H38" s="187">
        <f>G38+$B15+G35</f>
        <v>165868.57943925232</v>
      </c>
      <c r="I38" s="187">
        <f t="shared" ref="I38:S38" si="12">H38+$B15+H35</f>
        <v>185018.57943925232</v>
      </c>
      <c r="J38" s="187">
        <f t="shared" si="12"/>
        <v>204168.57943925232</v>
      </c>
      <c r="K38" s="187">
        <f t="shared" si="12"/>
        <v>223318.57943925232</v>
      </c>
      <c r="L38" s="187">
        <f t="shared" si="12"/>
        <v>242468.57943925232</v>
      </c>
      <c r="M38" s="187">
        <f t="shared" si="12"/>
        <v>261618.57943925232</v>
      </c>
      <c r="N38" s="187">
        <f t="shared" si="12"/>
        <v>280768.57943925232</v>
      </c>
      <c r="O38" s="187">
        <f t="shared" si="12"/>
        <v>299918.57943925232</v>
      </c>
      <c r="P38" s="187">
        <f t="shared" si="12"/>
        <v>319068.57943925232</v>
      </c>
      <c r="Q38" s="187">
        <f t="shared" si="12"/>
        <v>338218.57943925232</v>
      </c>
      <c r="R38" s="187">
        <f t="shared" si="12"/>
        <v>357368.57943925232</v>
      </c>
      <c r="S38" s="187">
        <f t="shared" si="12"/>
        <v>376518.57943925232</v>
      </c>
      <c r="T38" s="187">
        <f>S38+$B15+S35+S36</f>
        <v>407818.57943925232</v>
      </c>
      <c r="U38" s="187">
        <f t="shared" ref="U38:V38" si="13">T38+$B15+T35+T36</f>
        <v>443168.57943925232</v>
      </c>
      <c r="V38" s="187">
        <f t="shared" si="13"/>
        <v>478518.57943925232</v>
      </c>
      <c r="W38" s="187">
        <f t="shared" ref="W38:AE38" si="14">V38+$B15+V35+V36</f>
        <v>513868.57943925232</v>
      </c>
      <c r="X38" s="187">
        <f t="shared" si="14"/>
        <v>549218.57943925238</v>
      </c>
      <c r="Y38" s="187">
        <f t="shared" si="14"/>
        <v>584568.57943925238</v>
      </c>
      <c r="Z38" s="187">
        <f t="shared" si="14"/>
        <v>619918.57943925238</v>
      </c>
      <c r="AA38" s="187">
        <f t="shared" si="14"/>
        <v>655268.57943925238</v>
      </c>
      <c r="AB38" s="187">
        <f t="shared" si="14"/>
        <v>690618.57943925238</v>
      </c>
      <c r="AC38" s="187">
        <f t="shared" si="14"/>
        <v>725968.57943925238</v>
      </c>
      <c r="AD38" s="187">
        <f t="shared" si="14"/>
        <v>761318.57943925238</v>
      </c>
      <c r="AE38" s="187">
        <f t="shared" si="14"/>
        <v>796668.57943925238</v>
      </c>
    </row>
    <row r="39" spans="1:31" s="214" customFormat="1" ht="15" x14ac:dyDescent="0.2">
      <c r="A39" s="204" t="s">
        <v>96</v>
      </c>
      <c r="B39" s="195"/>
      <c r="C39" s="213"/>
      <c r="D39" s="205">
        <v>123301</v>
      </c>
      <c r="E39" s="207">
        <f>(D39*$B19)+$B15</f>
        <v>139132.07</v>
      </c>
      <c r="F39" s="208">
        <f>(E39*$B19)+$B15</f>
        <v>156071.31490000003</v>
      </c>
      <c r="G39" s="208">
        <f>(F39*$B19)+$B15+F35</f>
        <v>184080.30694300003</v>
      </c>
      <c r="H39" s="208">
        <f t="shared" ref="H39:S39" si="15">(G39*$B19)+$B15+G35</f>
        <v>216115.92842901003</v>
      </c>
      <c r="I39" s="208">
        <f t="shared" si="15"/>
        <v>250394.04341904074</v>
      </c>
      <c r="J39" s="208">
        <f t="shared" si="15"/>
        <v>287071.62645837362</v>
      </c>
      <c r="K39" s="208">
        <f t="shared" si="15"/>
        <v>326316.64031045977</v>
      </c>
      <c r="L39" s="208">
        <f t="shared" si="15"/>
        <v>368308.80513219198</v>
      </c>
      <c r="M39" s="208">
        <f t="shared" si="15"/>
        <v>413240.42149144545</v>
      </c>
      <c r="N39" s="208">
        <f t="shared" si="15"/>
        <v>461317.25099584664</v>
      </c>
      <c r="O39" s="208">
        <f t="shared" si="15"/>
        <v>512759.45856555592</v>
      </c>
      <c r="P39" s="208">
        <f t="shared" si="15"/>
        <v>567802.62066514487</v>
      </c>
      <c r="Q39" s="208">
        <f t="shared" si="15"/>
        <v>626698.80411170505</v>
      </c>
      <c r="R39" s="208">
        <f t="shared" si="15"/>
        <v>689717.72039952443</v>
      </c>
      <c r="S39" s="208">
        <f t="shared" si="15"/>
        <v>757147.96082749113</v>
      </c>
      <c r="T39" s="208">
        <f>(S39*$B19)+$B15+S35+S36</f>
        <v>841448.31808541552</v>
      </c>
      <c r="U39" s="208">
        <f t="shared" ref="U39:V39" si="16">(T39*$B19)+$B15+T35+T36</f>
        <v>935699.70035139471</v>
      </c>
      <c r="V39" s="208">
        <f t="shared" si="16"/>
        <v>1036548.6793759924</v>
      </c>
      <c r="W39" s="208">
        <f t="shared" ref="W39:AE39" si="17">(V39*$B19)+$B15+V35+V36</f>
        <v>1144457.086932312</v>
      </c>
      <c r="X39" s="208">
        <f t="shared" si="17"/>
        <v>1259919.0830175739</v>
      </c>
      <c r="Y39" s="208">
        <f t="shared" si="17"/>
        <v>1383463.4188288043</v>
      </c>
      <c r="Z39" s="208">
        <f t="shared" si="17"/>
        <v>1515655.8581468207</v>
      </c>
      <c r="AA39" s="208">
        <f t="shared" si="17"/>
        <v>1657101.7682170982</v>
      </c>
      <c r="AB39" s="208">
        <f t="shared" si="17"/>
        <v>1808448.8919922952</v>
      </c>
      <c r="AC39" s="208">
        <f t="shared" si="17"/>
        <v>1970390.314431756</v>
      </c>
      <c r="AD39" s="208">
        <f t="shared" si="17"/>
        <v>2143667.6364419791</v>
      </c>
      <c r="AE39" s="208">
        <f t="shared" si="17"/>
        <v>2329074.3709929176</v>
      </c>
    </row>
    <row r="40" spans="1:31" x14ac:dyDescent="0.2">
      <c r="A40" s="120" t="s">
        <v>257</v>
      </c>
      <c r="B40" s="178"/>
      <c r="C40" s="179"/>
      <c r="D40" s="178"/>
      <c r="E40" s="186">
        <f t="shared" ref="E40:V40" si="18">E39-D39</f>
        <v>15831.070000000007</v>
      </c>
      <c r="F40" s="187">
        <f t="shared" si="18"/>
        <v>16939.24490000002</v>
      </c>
      <c r="G40" s="187">
        <f t="shared" si="18"/>
        <v>28008.992043000006</v>
      </c>
      <c r="H40" s="187">
        <f t="shared" si="18"/>
        <v>32035.621486010001</v>
      </c>
      <c r="I40" s="187">
        <f t="shared" si="18"/>
        <v>34278.114990030706</v>
      </c>
      <c r="J40" s="187">
        <f t="shared" si="18"/>
        <v>36677.58303933288</v>
      </c>
      <c r="K40" s="187">
        <f t="shared" si="18"/>
        <v>39245.013852086151</v>
      </c>
      <c r="L40" s="187">
        <f t="shared" si="18"/>
        <v>41992.164821732207</v>
      </c>
      <c r="M40" s="187">
        <f t="shared" si="18"/>
        <v>44931.616359253472</v>
      </c>
      <c r="N40" s="187">
        <f t="shared" si="18"/>
        <v>48076.82950440119</v>
      </c>
      <c r="O40" s="187">
        <f t="shared" si="18"/>
        <v>51442.207569709281</v>
      </c>
      <c r="P40" s="187">
        <f t="shared" si="18"/>
        <v>55043.162099588953</v>
      </c>
      <c r="Q40" s="187">
        <f t="shared" si="18"/>
        <v>58896.183446560171</v>
      </c>
      <c r="R40" s="187">
        <f t="shared" si="18"/>
        <v>63018.916287819389</v>
      </c>
      <c r="S40" s="187">
        <f t="shared" si="18"/>
        <v>67430.240427966695</v>
      </c>
      <c r="T40" s="187">
        <f t="shared" si="18"/>
        <v>84300.357257924392</v>
      </c>
      <c r="U40" s="187">
        <f t="shared" si="18"/>
        <v>94251.382265979191</v>
      </c>
      <c r="V40" s="187">
        <f t="shared" si="18"/>
        <v>100848.97902459768</v>
      </c>
      <c r="W40" s="187">
        <f t="shared" ref="W40" si="19">W39-V39</f>
        <v>107908.40755631961</v>
      </c>
      <c r="X40" s="187">
        <f t="shared" ref="X40" si="20">X39-W39</f>
        <v>115461.99608526193</v>
      </c>
      <c r="Y40" s="187">
        <f t="shared" ref="Y40" si="21">Y39-X39</f>
        <v>123544.33581123035</v>
      </c>
      <c r="Z40" s="187">
        <f t="shared" ref="Z40" si="22">Z39-Y39</f>
        <v>132192.4393180164</v>
      </c>
      <c r="AA40" s="187">
        <f t="shared" ref="AA40" si="23">AA39-Z39</f>
        <v>141445.91007027752</v>
      </c>
      <c r="AB40" s="187">
        <f t="shared" ref="AB40:AE40" si="24">AB39-AA39</f>
        <v>151347.12377519696</v>
      </c>
      <c r="AC40" s="187">
        <f t="shared" si="24"/>
        <v>161941.42243946088</v>
      </c>
      <c r="AD40" s="187">
        <f t="shared" si="24"/>
        <v>173277.32201022306</v>
      </c>
      <c r="AE40" s="187">
        <f t="shared" si="24"/>
        <v>185406.73455093848</v>
      </c>
    </row>
    <row r="41" spans="1:31" x14ac:dyDescent="0.2">
      <c r="A41" s="120"/>
      <c r="B41" s="178"/>
      <c r="C41" s="179"/>
      <c r="D41" s="179"/>
      <c r="E41" s="126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</row>
    <row r="42" spans="1:31" s="209" customFormat="1" ht="15" x14ac:dyDescent="0.2">
      <c r="A42" s="204" t="s">
        <v>280</v>
      </c>
      <c r="B42" s="205"/>
      <c r="C42" s="206"/>
      <c r="D42" s="210">
        <v>62200</v>
      </c>
      <c r="E42" s="211">
        <f>SUM(TilgungsRechner!E13:E19,TilgungsRechner!G15)+D42+10000</f>
        <v>85433.829822743966</v>
      </c>
      <c r="F42" s="212">
        <f>SUM(TilgungsRechner!E20:E32,TilgungsRechner!G27,TilgungsRechner!G28)+E42</f>
        <v>102307.57442825094</v>
      </c>
      <c r="G42" s="212">
        <f>SUM(TilgungsRechner!E33:E45,TilgungsRechner!G41)+'(SOLL) Prognosekurve'!F42</f>
        <v>119777.98241764397</v>
      </c>
      <c r="H42" s="212">
        <f>SUM(TilgungsRechner!E46:E58,TilgungsRechner!G54)+G42</f>
        <v>137866.15208309199</v>
      </c>
      <c r="I42" s="212">
        <f>SUM(TilgungsRechner!E59:E71,TilgungsRechner!G67)+H42</f>
        <v>156593.92776209608</v>
      </c>
      <c r="J42" s="212">
        <f>SUM(TilgungsRechner!E72:E84,TilgungsRechner!G80)+I42</f>
        <v>175983.92621799622</v>
      </c>
      <c r="K42" s="212">
        <f>SUM(TilgungsRechner!E85:E97,TilgungsRechner!G93)+J42</f>
        <v>196059.5639533049</v>
      </c>
      <c r="L42" s="212">
        <f>SUM(TilgungsRechner!E98:E110,TilgungsRechner!G106)+K42</f>
        <v>216845.08548885261</v>
      </c>
      <c r="M42" s="212">
        <f>SUM(TilgungsRechner!E111:E123,TilgungsRechner!G119)+L42</f>
        <v>238365.59264289719</v>
      </c>
      <c r="N42" s="212">
        <f>SUM(TilgungsRechner!E124:E136,TilgungsRechner!G132)+M42</f>
        <v>260647.07484555582</v>
      </c>
      <c r="O42" s="212">
        <f>SUM(TilgungsRechner!E137:E149,TilgungsRechner!G145)+N42</f>
        <v>283716.44052516931</v>
      </c>
      <c r="P42" s="212">
        <f>SUM(TilgungsRechner!E150:E162,TilgungsRechner!G157,TilgungsRechner!G158)+O42</f>
        <v>307601.54960450286</v>
      </c>
      <c r="Q42" s="212">
        <f>SUM(TilgungsRechner!E163:E175,TilgungsRechner!G171)+P42</f>
        <v>332331.24714602705</v>
      </c>
      <c r="R42" s="212">
        <f>SUM(TilgungsRechner!E176:E188,TilgungsRechner!G184)+Q42</f>
        <v>357935.39818691195</v>
      </c>
      <c r="S42" s="212">
        <f>SUM(TilgungsRechner!E189:E190)+R42</f>
        <v>360628.16235109477</v>
      </c>
      <c r="T42" s="212">
        <v>360000</v>
      </c>
      <c r="U42" s="212">
        <f>SUM(TilgungsRechner!G189:G190)+T42</f>
        <v>360000</v>
      </c>
      <c r="V42" s="212">
        <f>SUM(TilgungsRechner!H189:H190)+U42</f>
        <v>360000</v>
      </c>
      <c r="W42" s="212">
        <v>360000</v>
      </c>
      <c r="X42" s="212">
        <v>360000</v>
      </c>
      <c r="Y42" s="212">
        <v>360000</v>
      </c>
      <c r="Z42" s="212">
        <v>360000</v>
      </c>
      <c r="AA42" s="212">
        <v>360000</v>
      </c>
      <c r="AB42" s="212">
        <v>360000</v>
      </c>
      <c r="AC42" s="212">
        <v>360000</v>
      </c>
      <c r="AD42" s="212">
        <v>360000</v>
      </c>
      <c r="AE42" s="212">
        <v>360000</v>
      </c>
    </row>
    <row r="43" spans="1:31" x14ac:dyDescent="0.2">
      <c r="A43" s="117" t="s">
        <v>281</v>
      </c>
      <c r="B43" s="178"/>
      <c r="C43" s="179"/>
      <c r="D43" s="188">
        <f>D42/360000</f>
        <v>0.17277777777777778</v>
      </c>
      <c r="E43" s="189">
        <f t="shared" ref="E43:S43" si="25">E42/360000</f>
        <v>0.23731619395206657</v>
      </c>
      <c r="F43" s="190">
        <f t="shared" si="25"/>
        <v>0.28418770674514149</v>
      </c>
      <c r="G43" s="190">
        <f t="shared" si="25"/>
        <v>0.3327166178267888</v>
      </c>
      <c r="H43" s="190">
        <f t="shared" si="25"/>
        <v>0.38296153356414442</v>
      </c>
      <c r="I43" s="190">
        <f t="shared" si="25"/>
        <v>0.43498313267248911</v>
      </c>
      <c r="J43" s="190">
        <f t="shared" si="25"/>
        <v>0.48884423949443395</v>
      </c>
      <c r="K43" s="190">
        <f t="shared" si="25"/>
        <v>0.5446098998702914</v>
      </c>
      <c r="L43" s="190">
        <f t="shared" si="25"/>
        <v>0.60234745969125725</v>
      </c>
      <c r="M43" s="190">
        <f t="shared" si="25"/>
        <v>0.66212664623026996</v>
      </c>
      <c r="N43" s="190">
        <f t="shared" si="25"/>
        <v>0.7240196523487662</v>
      </c>
      <c r="O43" s="190">
        <f t="shared" si="25"/>
        <v>0.78810122368102586</v>
      </c>
      <c r="P43" s="190">
        <f t="shared" si="25"/>
        <v>0.85444874890139677</v>
      </c>
      <c r="Q43" s="190">
        <f t="shared" si="25"/>
        <v>0.92314235318340843</v>
      </c>
      <c r="R43" s="190">
        <f t="shared" si="25"/>
        <v>0.99426499496364429</v>
      </c>
      <c r="S43" s="190">
        <f t="shared" si="25"/>
        <v>1.0017448954197077</v>
      </c>
      <c r="T43" s="189">
        <f t="shared" ref="T43:U43" si="26">T42/360000</f>
        <v>1</v>
      </c>
      <c r="U43" s="189">
        <f t="shared" si="26"/>
        <v>1</v>
      </c>
      <c r="V43" s="189">
        <f t="shared" ref="V43:AB43" si="27">V42/360000</f>
        <v>1</v>
      </c>
      <c r="W43" s="189">
        <f t="shared" si="27"/>
        <v>1</v>
      </c>
      <c r="X43" s="189">
        <f t="shared" si="27"/>
        <v>1</v>
      </c>
      <c r="Y43" s="189">
        <f t="shared" si="27"/>
        <v>1</v>
      </c>
      <c r="Z43" s="189">
        <f t="shared" si="27"/>
        <v>1</v>
      </c>
      <c r="AA43" s="189">
        <f t="shared" si="27"/>
        <v>1</v>
      </c>
      <c r="AB43" s="189">
        <f t="shared" si="27"/>
        <v>1</v>
      </c>
      <c r="AC43" s="189">
        <f t="shared" ref="AC43:AE43" si="28">AC42/360000</f>
        <v>1</v>
      </c>
      <c r="AD43" s="189">
        <f t="shared" si="28"/>
        <v>1</v>
      </c>
      <c r="AE43" s="189">
        <f t="shared" si="28"/>
        <v>1</v>
      </c>
    </row>
    <row r="44" spans="1:31" x14ac:dyDescent="0.2">
      <c r="A44" s="120"/>
      <c r="B44" s="178"/>
      <c r="C44" s="179"/>
      <c r="D44" s="179"/>
      <c r="E44" s="126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</row>
    <row r="45" spans="1:31" x14ac:dyDescent="0.2">
      <c r="A45" s="120" t="s">
        <v>95</v>
      </c>
      <c r="B45" s="178">
        <v>360000</v>
      </c>
      <c r="C45" s="179">
        <v>1.02</v>
      </c>
      <c r="D45" s="178">
        <v>360000</v>
      </c>
      <c r="E45" s="186">
        <f>D45*$C45</f>
        <v>367200</v>
      </c>
      <c r="F45" s="187">
        <f>E45*$C45</f>
        <v>374544</v>
      </c>
      <c r="G45" s="187">
        <f t="shared" ref="G45:V45" si="29">F45*$C45</f>
        <v>382034.88</v>
      </c>
      <c r="H45" s="187">
        <f t="shared" si="29"/>
        <v>389675.57760000002</v>
      </c>
      <c r="I45" s="187">
        <f t="shared" si="29"/>
        <v>397469.08915200003</v>
      </c>
      <c r="J45" s="187">
        <f t="shared" si="29"/>
        <v>405418.47093504004</v>
      </c>
      <c r="K45" s="187">
        <f t="shared" si="29"/>
        <v>413526.84035374084</v>
      </c>
      <c r="L45" s="187">
        <f t="shared" si="29"/>
        <v>421797.3771608157</v>
      </c>
      <c r="M45" s="187">
        <f t="shared" si="29"/>
        <v>430233.32470403204</v>
      </c>
      <c r="N45" s="187">
        <f t="shared" si="29"/>
        <v>438837.99119811266</v>
      </c>
      <c r="O45" s="187">
        <f t="shared" si="29"/>
        <v>447614.75102207495</v>
      </c>
      <c r="P45" s="187">
        <f t="shared" si="29"/>
        <v>456567.04604251648</v>
      </c>
      <c r="Q45" s="187">
        <f t="shared" si="29"/>
        <v>465698.38696336682</v>
      </c>
      <c r="R45" s="187">
        <f t="shared" si="29"/>
        <v>475012.35470263415</v>
      </c>
      <c r="S45" s="187">
        <f t="shared" si="29"/>
        <v>484512.60179668682</v>
      </c>
      <c r="T45" s="187">
        <f t="shared" si="29"/>
        <v>494202.85383262055</v>
      </c>
      <c r="U45" s="187">
        <f t="shared" si="29"/>
        <v>504086.91090927296</v>
      </c>
      <c r="V45" s="187">
        <f t="shared" si="29"/>
        <v>514168.64912745846</v>
      </c>
      <c r="W45" s="187">
        <f t="shared" ref="W45" si="30">V45*$C45</f>
        <v>524452.02211000759</v>
      </c>
      <c r="X45" s="187">
        <f t="shared" ref="X45" si="31">W45*$C45</f>
        <v>534941.06255220773</v>
      </c>
      <c r="Y45" s="187">
        <f t="shared" ref="Y45" si="32">X45*$C45</f>
        <v>545639.8838032519</v>
      </c>
      <c r="Z45" s="187">
        <f t="shared" ref="Z45" si="33">Y45*$C45</f>
        <v>556552.6814793169</v>
      </c>
      <c r="AA45" s="187">
        <f t="shared" ref="AA45" si="34">Z45*$C45</f>
        <v>567683.73510890326</v>
      </c>
      <c r="AB45" s="187">
        <f t="shared" ref="AB45:AE45" si="35">AA45*$C45</f>
        <v>579037.40981108136</v>
      </c>
      <c r="AC45" s="187">
        <f t="shared" si="35"/>
        <v>590618.15800730302</v>
      </c>
      <c r="AD45" s="187">
        <f t="shared" si="35"/>
        <v>602430.52116744907</v>
      </c>
      <c r="AE45" s="187">
        <f t="shared" si="35"/>
        <v>614479.13159079803</v>
      </c>
    </row>
    <row r="46" spans="1:31" x14ac:dyDescent="0.2">
      <c r="A46" s="120" t="s">
        <v>284</v>
      </c>
      <c r="B46" s="178"/>
      <c r="C46" s="179"/>
      <c r="D46" s="178"/>
      <c r="E46" s="186">
        <f t="shared" ref="E46" si="36">E45-D45</f>
        <v>7200</v>
      </c>
      <c r="F46" s="187">
        <f t="shared" ref="F46" si="37">F45-E45</f>
        <v>7344</v>
      </c>
      <c r="G46" s="187">
        <f t="shared" ref="G46" si="38">G45-F45</f>
        <v>7490.8800000000047</v>
      </c>
      <c r="H46" s="187">
        <f t="shared" ref="H46" si="39">H45-G45</f>
        <v>7640.6976000000141</v>
      </c>
      <c r="I46" s="187">
        <f t="shared" ref="I46" si="40">I45-H45</f>
        <v>7793.5115520000109</v>
      </c>
      <c r="J46" s="187">
        <f t="shared" ref="J46" si="41">J45-I45</f>
        <v>7949.3817830400076</v>
      </c>
      <c r="K46" s="187">
        <f t="shared" ref="K46" si="42">K45-J45</f>
        <v>8108.3694187008077</v>
      </c>
      <c r="L46" s="187">
        <f t="shared" ref="L46" si="43">L45-K45</f>
        <v>8270.5368070748518</v>
      </c>
      <c r="M46" s="187">
        <f t="shared" ref="M46" si="44">M45-L45</f>
        <v>8435.9475432163454</v>
      </c>
      <c r="N46" s="187">
        <f t="shared" ref="N46" si="45">N45-M45</f>
        <v>8604.6664940806222</v>
      </c>
      <c r="O46" s="187">
        <f t="shared" ref="O46" si="46">O45-N45</f>
        <v>8776.7598239622894</v>
      </c>
      <c r="P46" s="187">
        <f t="shared" ref="P46" si="47">P45-O45</f>
        <v>8952.2950204415247</v>
      </c>
      <c r="Q46" s="187">
        <f t="shared" ref="Q46" si="48">Q45-P45</f>
        <v>9131.3409208503435</v>
      </c>
      <c r="R46" s="187">
        <f t="shared" ref="R46" si="49">R45-Q45</f>
        <v>9313.9677392673329</v>
      </c>
      <c r="S46" s="187">
        <f t="shared" ref="S46:V46" si="50">S45-R45</f>
        <v>9500.2470940526691</v>
      </c>
      <c r="T46" s="187">
        <f t="shared" si="50"/>
        <v>9690.2520359337213</v>
      </c>
      <c r="U46" s="187">
        <f t="shared" si="50"/>
        <v>9884.0570766524179</v>
      </c>
      <c r="V46" s="187">
        <f t="shared" si="50"/>
        <v>10081.738218185492</v>
      </c>
      <c r="W46" s="187">
        <f t="shared" ref="W46" si="51">W45-V45</f>
        <v>10283.372982549132</v>
      </c>
      <c r="X46" s="187">
        <f t="shared" ref="X46" si="52">X45-W45</f>
        <v>10489.040442200145</v>
      </c>
      <c r="Y46" s="187">
        <f t="shared" ref="Y46" si="53">Y45-X45</f>
        <v>10698.821251044166</v>
      </c>
      <c r="Z46" s="187">
        <f t="shared" ref="Z46" si="54">Z45-Y45</f>
        <v>10912.797676065005</v>
      </c>
      <c r="AA46" s="187">
        <f t="shared" ref="AA46" si="55">AA45-Z45</f>
        <v>11131.053629586357</v>
      </c>
      <c r="AB46" s="187">
        <f t="shared" ref="AB46:AE46" si="56">AB45-AA45</f>
        <v>11353.674702178105</v>
      </c>
      <c r="AC46" s="187">
        <f t="shared" si="56"/>
        <v>11580.748196221655</v>
      </c>
      <c r="AD46" s="187">
        <f t="shared" si="56"/>
        <v>11812.363160146051</v>
      </c>
      <c r="AE46" s="187">
        <f t="shared" si="56"/>
        <v>12048.61042334896</v>
      </c>
    </row>
    <row r="47" spans="1:31" x14ac:dyDescent="0.2">
      <c r="A47" s="120"/>
      <c r="B47" s="178"/>
      <c r="C47" s="179"/>
      <c r="D47" s="178"/>
      <c r="E47" s="186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</row>
    <row r="48" spans="1:31" x14ac:dyDescent="0.2">
      <c r="A48" s="120" t="s">
        <v>300</v>
      </c>
      <c r="B48" s="178"/>
      <c r="C48" s="179"/>
      <c r="D48" s="178">
        <v>85000</v>
      </c>
      <c r="E48" s="186">
        <f>91500+(200*7)+1000</f>
        <v>93900</v>
      </c>
      <c r="F48" s="187">
        <f>E48+(200*12)+800</f>
        <v>97100</v>
      </c>
      <c r="G48" s="187">
        <f t="shared" ref="G48:AB48" si="57">F48+(200*12)+800</f>
        <v>100300</v>
      </c>
      <c r="H48" s="187">
        <f t="shared" si="57"/>
        <v>103500</v>
      </c>
      <c r="I48" s="187">
        <f t="shared" si="57"/>
        <v>106700</v>
      </c>
      <c r="J48" s="187">
        <f t="shared" si="57"/>
        <v>109900</v>
      </c>
      <c r="K48" s="187">
        <f t="shared" si="57"/>
        <v>113100</v>
      </c>
      <c r="L48" s="187">
        <f t="shared" si="57"/>
        <v>116300</v>
      </c>
      <c r="M48" s="187">
        <f t="shared" si="57"/>
        <v>119500</v>
      </c>
      <c r="N48" s="187">
        <f t="shared" si="57"/>
        <v>122700</v>
      </c>
      <c r="O48" s="187">
        <f t="shared" si="57"/>
        <v>125900</v>
      </c>
      <c r="P48" s="187">
        <f t="shared" si="57"/>
        <v>129100</v>
      </c>
      <c r="Q48" s="187">
        <f t="shared" si="57"/>
        <v>132300</v>
      </c>
      <c r="R48" s="187">
        <f t="shared" si="57"/>
        <v>135500</v>
      </c>
      <c r="S48" s="187">
        <f t="shared" si="57"/>
        <v>138700</v>
      </c>
      <c r="T48" s="187">
        <f t="shared" si="57"/>
        <v>141900</v>
      </c>
      <c r="U48" s="187">
        <f t="shared" si="57"/>
        <v>145100</v>
      </c>
      <c r="V48" s="187">
        <f t="shared" si="57"/>
        <v>148300</v>
      </c>
      <c r="W48" s="187">
        <f t="shared" si="57"/>
        <v>151500</v>
      </c>
      <c r="X48" s="187">
        <f t="shared" si="57"/>
        <v>154700</v>
      </c>
      <c r="Y48" s="187">
        <f t="shared" si="57"/>
        <v>157900</v>
      </c>
      <c r="Z48" s="187">
        <f t="shared" si="57"/>
        <v>161100</v>
      </c>
      <c r="AA48" s="187">
        <f t="shared" si="57"/>
        <v>164300</v>
      </c>
      <c r="AB48" s="187">
        <f t="shared" si="57"/>
        <v>167500</v>
      </c>
      <c r="AC48" s="187">
        <f t="shared" ref="AC48:AE48" si="58">AB48+(200*12)+800</f>
        <v>170700</v>
      </c>
      <c r="AD48" s="187">
        <f t="shared" si="58"/>
        <v>173900</v>
      </c>
      <c r="AE48" s="187">
        <f t="shared" si="58"/>
        <v>177100</v>
      </c>
    </row>
    <row r="49" spans="1:31" s="209" customFormat="1" ht="15" x14ac:dyDescent="0.2">
      <c r="A49" s="204" t="s">
        <v>301</v>
      </c>
      <c r="B49" s="205"/>
      <c r="C49" s="206"/>
      <c r="D49" s="205">
        <v>90000</v>
      </c>
      <c r="E49" s="207">
        <f>E48*$B$20</f>
        <v>98595</v>
      </c>
      <c r="F49" s="208">
        <f t="shared" ref="F49:L49" si="59">E49*$B$20+(12*200)+1000</f>
        <v>106924.75</v>
      </c>
      <c r="G49" s="208">
        <f t="shared" si="59"/>
        <v>115670.9875</v>
      </c>
      <c r="H49" s="208">
        <f t="shared" si="59"/>
        <v>124854.53687500001</v>
      </c>
      <c r="I49" s="208">
        <f t="shared" si="59"/>
        <v>134497.26371875001</v>
      </c>
      <c r="J49" s="208">
        <f t="shared" si="59"/>
        <v>144622.12690468752</v>
      </c>
      <c r="K49" s="208">
        <f t="shared" si="59"/>
        <v>155253.2332499219</v>
      </c>
      <c r="L49" s="208">
        <f t="shared" si="59"/>
        <v>166415.89491241801</v>
      </c>
      <c r="M49" s="208">
        <f t="shared" ref="M49:AB49" si="60">L49*$B$20+(12*200)+1000</f>
        <v>178136.68965803893</v>
      </c>
      <c r="N49" s="208">
        <f t="shared" si="60"/>
        <v>190443.52414094089</v>
      </c>
      <c r="O49" s="208">
        <f t="shared" si="60"/>
        <v>203365.70034798793</v>
      </c>
      <c r="P49" s="208">
        <f t="shared" si="60"/>
        <v>216933.98536538734</v>
      </c>
      <c r="Q49" s="208">
        <f t="shared" si="60"/>
        <v>231180.68463365673</v>
      </c>
      <c r="R49" s="208">
        <f t="shared" si="60"/>
        <v>246139.71886533959</v>
      </c>
      <c r="S49" s="208">
        <f t="shared" si="60"/>
        <v>261846.70480860656</v>
      </c>
      <c r="T49" s="208">
        <f t="shared" si="60"/>
        <v>278339.04004903691</v>
      </c>
      <c r="U49" s="208">
        <f t="shared" si="60"/>
        <v>295655.99205148878</v>
      </c>
      <c r="V49" s="208">
        <f t="shared" si="60"/>
        <v>313838.79165406321</v>
      </c>
      <c r="W49" s="208">
        <f t="shared" si="60"/>
        <v>332930.73123676638</v>
      </c>
      <c r="X49" s="208">
        <f t="shared" si="60"/>
        <v>352977.26779860473</v>
      </c>
      <c r="Y49" s="208">
        <f t="shared" si="60"/>
        <v>374026.13118853502</v>
      </c>
      <c r="Z49" s="208">
        <f t="shared" si="60"/>
        <v>396127.43774796178</v>
      </c>
      <c r="AA49" s="208">
        <f t="shared" si="60"/>
        <v>419333.80963535991</v>
      </c>
      <c r="AB49" s="208">
        <f t="shared" si="60"/>
        <v>443700.5001171279</v>
      </c>
      <c r="AC49" s="208">
        <f t="shared" ref="AC49:AE49" si="61">AB49*$B$20+(12*200)+1000</f>
        <v>469285.52512298431</v>
      </c>
      <c r="AD49" s="208">
        <f t="shared" si="61"/>
        <v>496149.80137913354</v>
      </c>
      <c r="AE49" s="208">
        <f t="shared" si="61"/>
        <v>524357.29144809023</v>
      </c>
    </row>
    <row r="50" spans="1:31" x14ac:dyDescent="0.2">
      <c r="A50" s="120"/>
      <c r="B50" s="178"/>
      <c r="C50" s="179"/>
      <c r="D50" s="179"/>
      <c r="E50" s="126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</row>
    <row r="51" spans="1:31" ht="18" x14ac:dyDescent="0.25">
      <c r="A51" s="200" t="s">
        <v>303</v>
      </c>
      <c r="B51" s="201"/>
      <c r="C51" s="202"/>
      <c r="D51" s="203">
        <f>D34+D39+D42</f>
        <v>215501</v>
      </c>
      <c r="E51" s="203">
        <f>E34+E39+E42</f>
        <v>272499.89982274396</v>
      </c>
      <c r="F51" s="203">
        <f>F34+F39+F42</f>
        <v>318262.88932825095</v>
      </c>
      <c r="G51" s="203">
        <f t="shared" ref="G51:AB51" si="62">G34+G39+G42</f>
        <v>365808.289360644</v>
      </c>
      <c r="H51" s="203">
        <f t="shared" si="62"/>
        <v>415932.08051210199</v>
      </c>
      <c r="I51" s="203">
        <f t="shared" si="62"/>
        <v>468937.97118113679</v>
      </c>
      <c r="J51" s="203">
        <f t="shared" si="62"/>
        <v>525005.5526763699</v>
      </c>
      <c r="K51" s="203">
        <f t="shared" si="62"/>
        <v>584326.20426376467</v>
      </c>
      <c r="L51" s="203">
        <f t="shared" si="62"/>
        <v>647103.89062104456</v>
      </c>
      <c r="M51" s="203">
        <f t="shared" si="62"/>
        <v>713556.01413434267</v>
      </c>
      <c r="N51" s="203">
        <f t="shared" si="62"/>
        <v>783914.3258414024</v>
      </c>
      <c r="O51" s="203">
        <f t="shared" si="62"/>
        <v>858425.89909072523</v>
      </c>
      <c r="P51" s="203">
        <f t="shared" si="62"/>
        <v>937354.17026964773</v>
      </c>
      <c r="Q51" s="203">
        <f t="shared" si="62"/>
        <v>1020980.0512577321</v>
      </c>
      <c r="R51" s="203">
        <f t="shared" si="62"/>
        <v>1109603.1185864364</v>
      </c>
      <c r="S51" s="203">
        <f t="shared" si="62"/>
        <v>1179726.1231785859</v>
      </c>
      <c r="T51" s="203">
        <f t="shared" si="62"/>
        <v>1263398.3180854155</v>
      </c>
      <c r="U51" s="203">
        <f t="shared" si="62"/>
        <v>1357649.7003513947</v>
      </c>
      <c r="V51" s="203">
        <f t="shared" si="62"/>
        <v>1458498.6793759924</v>
      </c>
      <c r="W51" s="203">
        <f t="shared" si="62"/>
        <v>1566407.086932312</v>
      </c>
      <c r="X51" s="203">
        <f t="shared" si="62"/>
        <v>1681869.0830175739</v>
      </c>
      <c r="Y51" s="203">
        <f t="shared" si="62"/>
        <v>1805413.4188288043</v>
      </c>
      <c r="Z51" s="203">
        <f t="shared" si="62"/>
        <v>1937605.8581468207</v>
      </c>
      <c r="AA51" s="203">
        <f t="shared" si="62"/>
        <v>2079051.7682170982</v>
      </c>
      <c r="AB51" s="203">
        <f t="shared" si="62"/>
        <v>2230398.8919922952</v>
      </c>
      <c r="AC51" s="203">
        <f t="shared" ref="AC51:AE51" si="63">AC34+AC39+AC42</f>
        <v>2392340.3144317558</v>
      </c>
      <c r="AD51" s="203">
        <f t="shared" si="63"/>
        <v>2565617.6364419791</v>
      </c>
      <c r="AE51" s="203">
        <f t="shared" si="63"/>
        <v>2751024.3709929176</v>
      </c>
    </row>
    <row r="52" spans="1:31" ht="18" x14ac:dyDescent="0.25">
      <c r="A52" s="191" t="s">
        <v>307</v>
      </c>
      <c r="B52" s="178"/>
      <c r="C52" s="179"/>
      <c r="D52" s="192"/>
      <c r="E52" s="193">
        <f>E34+E39+E42+E46</f>
        <v>279699.89982274396</v>
      </c>
      <c r="F52" s="194">
        <f>F34+F39+F42+F46</f>
        <v>325606.88932825095</v>
      </c>
      <c r="G52" s="194">
        <f t="shared" ref="G52:AE52" si="64">G34+G39+G42+G46</f>
        <v>373299.16936064401</v>
      </c>
      <c r="H52" s="194">
        <f t="shared" si="64"/>
        <v>423572.77811210201</v>
      </c>
      <c r="I52" s="194">
        <f t="shared" si="64"/>
        <v>476731.4827331368</v>
      </c>
      <c r="J52" s="194">
        <f t="shared" si="64"/>
        <v>532954.93445940991</v>
      </c>
      <c r="K52" s="194">
        <f t="shared" si="64"/>
        <v>592434.57368246547</v>
      </c>
      <c r="L52" s="194">
        <f t="shared" si="64"/>
        <v>655374.42742811935</v>
      </c>
      <c r="M52" s="194">
        <f t="shared" si="64"/>
        <v>721991.96167755895</v>
      </c>
      <c r="N52" s="194">
        <f t="shared" si="64"/>
        <v>792518.99233548297</v>
      </c>
      <c r="O52" s="194">
        <f t="shared" si="64"/>
        <v>867202.65891468758</v>
      </c>
      <c r="P52" s="194">
        <f t="shared" si="64"/>
        <v>946306.46529008925</v>
      </c>
      <c r="Q52" s="194">
        <f t="shared" si="64"/>
        <v>1030111.3921785825</v>
      </c>
      <c r="R52" s="194">
        <f t="shared" si="64"/>
        <v>1118917.0863257037</v>
      </c>
      <c r="S52" s="194">
        <f t="shared" si="64"/>
        <v>1189226.3702726385</v>
      </c>
      <c r="T52" s="194">
        <f t="shared" si="64"/>
        <v>1273088.5701213493</v>
      </c>
      <c r="U52" s="194">
        <f t="shared" si="64"/>
        <v>1367533.7574280472</v>
      </c>
      <c r="V52" s="194">
        <f t="shared" si="64"/>
        <v>1468580.4175941779</v>
      </c>
      <c r="W52" s="194">
        <f t="shared" si="64"/>
        <v>1576690.4599148612</v>
      </c>
      <c r="X52" s="194">
        <f t="shared" si="64"/>
        <v>1692358.1234597741</v>
      </c>
      <c r="Y52" s="194">
        <f t="shared" si="64"/>
        <v>1816112.2400798486</v>
      </c>
      <c r="Z52" s="194">
        <f t="shared" si="64"/>
        <v>1948518.6558228857</v>
      </c>
      <c r="AA52" s="194">
        <f t="shared" si="64"/>
        <v>2090182.8218466844</v>
      </c>
      <c r="AB52" s="194">
        <f t="shared" si="64"/>
        <v>2241752.5666944734</v>
      </c>
      <c r="AC52" s="194">
        <f t="shared" si="64"/>
        <v>2403921.0626279777</v>
      </c>
      <c r="AD52" s="194">
        <f t="shared" si="64"/>
        <v>2577429.999602125</v>
      </c>
      <c r="AE52" s="194">
        <f t="shared" si="64"/>
        <v>2763072.9814162664</v>
      </c>
    </row>
    <row r="53" spans="1:31" ht="18" x14ac:dyDescent="0.25">
      <c r="A53" s="200" t="s">
        <v>283</v>
      </c>
      <c r="B53" s="201"/>
      <c r="C53" s="202"/>
      <c r="D53" s="203">
        <f t="shared" ref="D53:AE53" si="65">D34+D39+D42+D49</f>
        <v>305501</v>
      </c>
      <c r="E53" s="203">
        <f t="shared" si="65"/>
        <v>371094.89982274396</v>
      </c>
      <c r="F53" s="203">
        <f t="shared" si="65"/>
        <v>425187.63932825095</v>
      </c>
      <c r="G53" s="203">
        <f t="shared" si="65"/>
        <v>481479.27686064399</v>
      </c>
      <c r="H53" s="203">
        <f t="shared" si="65"/>
        <v>540786.61738710199</v>
      </c>
      <c r="I53" s="203">
        <f t="shared" si="65"/>
        <v>603435.23489988677</v>
      </c>
      <c r="J53" s="203">
        <f t="shared" si="65"/>
        <v>669627.6795810574</v>
      </c>
      <c r="K53" s="203">
        <f t="shared" si="65"/>
        <v>739579.4375136866</v>
      </c>
      <c r="L53" s="203">
        <f t="shared" si="65"/>
        <v>813519.78553346253</v>
      </c>
      <c r="M53" s="203">
        <f t="shared" si="65"/>
        <v>891692.70379238157</v>
      </c>
      <c r="N53" s="203">
        <f t="shared" si="65"/>
        <v>974357.84998234326</v>
      </c>
      <c r="O53" s="203">
        <f t="shared" si="65"/>
        <v>1061791.5994387132</v>
      </c>
      <c r="P53" s="203">
        <f t="shared" si="65"/>
        <v>1154288.1556350351</v>
      </c>
      <c r="Q53" s="203">
        <f t="shared" si="65"/>
        <v>1252160.7358913887</v>
      </c>
      <c r="R53" s="203">
        <f t="shared" si="65"/>
        <v>1355742.837451776</v>
      </c>
      <c r="S53" s="203">
        <f t="shared" si="65"/>
        <v>1441572.8279871924</v>
      </c>
      <c r="T53" s="203">
        <f t="shared" si="65"/>
        <v>1541737.3581344525</v>
      </c>
      <c r="U53" s="203">
        <f t="shared" si="65"/>
        <v>1653305.6924028834</v>
      </c>
      <c r="V53" s="203">
        <f t="shared" si="65"/>
        <v>1772337.4710300555</v>
      </c>
      <c r="W53" s="203">
        <f t="shared" si="65"/>
        <v>1899337.8181690783</v>
      </c>
      <c r="X53" s="203">
        <f t="shared" si="65"/>
        <v>2034846.3508161786</v>
      </c>
      <c r="Y53" s="203">
        <f t="shared" si="65"/>
        <v>2179439.5500173392</v>
      </c>
      <c r="Z53" s="203">
        <f t="shared" si="65"/>
        <v>2333733.2958947825</v>
      </c>
      <c r="AA53" s="203">
        <f t="shared" si="65"/>
        <v>2498385.5778524582</v>
      </c>
      <c r="AB53" s="203">
        <f t="shared" si="65"/>
        <v>2674099.3921094229</v>
      </c>
      <c r="AC53" s="203">
        <f t="shared" si="65"/>
        <v>2861625.8395547401</v>
      </c>
      <c r="AD53" s="203">
        <f t="shared" si="65"/>
        <v>3061767.4378211126</v>
      </c>
      <c r="AE53" s="203">
        <f t="shared" si="65"/>
        <v>3275381.6624410078</v>
      </c>
    </row>
    <row r="54" spans="1:31" ht="18" x14ac:dyDescent="0.25">
      <c r="A54" s="200" t="s">
        <v>287</v>
      </c>
      <c r="B54" s="201"/>
      <c r="C54" s="202"/>
      <c r="D54" s="203"/>
      <c r="E54" s="203">
        <f>E53-D53</f>
        <v>65593.899822743959</v>
      </c>
      <c r="F54" s="203">
        <f>F53-E53</f>
        <v>54092.739505506994</v>
      </c>
      <c r="G54" s="203">
        <f t="shared" ref="G54:V54" si="66">G53-F53</f>
        <v>56291.637532393041</v>
      </c>
      <c r="H54" s="203">
        <f t="shared" si="66"/>
        <v>59307.340526457992</v>
      </c>
      <c r="I54" s="203">
        <f t="shared" si="66"/>
        <v>62648.617512784782</v>
      </c>
      <c r="J54" s="203">
        <f t="shared" si="66"/>
        <v>66192.444681170629</v>
      </c>
      <c r="K54" s="203">
        <f t="shared" si="66"/>
        <v>69951.757932629203</v>
      </c>
      <c r="L54" s="203">
        <f t="shared" si="66"/>
        <v>73940.348019775935</v>
      </c>
      <c r="M54" s="203">
        <f t="shared" si="66"/>
        <v>78172.918258919031</v>
      </c>
      <c r="N54" s="203">
        <f t="shared" si="66"/>
        <v>82665.146189961699</v>
      </c>
      <c r="O54" s="203">
        <f t="shared" si="66"/>
        <v>87433.7494563699</v>
      </c>
      <c r="P54" s="203">
        <f t="shared" si="66"/>
        <v>92496.556196321966</v>
      </c>
      <c r="Q54" s="203">
        <f t="shared" si="66"/>
        <v>97872.580256353598</v>
      </c>
      <c r="R54" s="203">
        <f t="shared" si="66"/>
        <v>103582.10156038729</v>
      </c>
      <c r="S54" s="203">
        <f t="shared" si="66"/>
        <v>85829.990535416408</v>
      </c>
      <c r="T54" s="203">
        <f t="shared" si="66"/>
        <v>100164.53014726005</v>
      </c>
      <c r="U54" s="203">
        <f t="shared" si="66"/>
        <v>111568.33426843095</v>
      </c>
      <c r="V54" s="203">
        <f t="shared" si="66"/>
        <v>119031.77862717211</v>
      </c>
      <c r="W54" s="203">
        <f t="shared" ref="W54" si="67">W53-V53</f>
        <v>127000.34713902278</v>
      </c>
      <c r="X54" s="203">
        <f t="shared" ref="X54" si="68">X53-W53</f>
        <v>135508.53264710028</v>
      </c>
      <c r="Y54" s="203">
        <f t="shared" ref="Y54" si="69">Y53-X53</f>
        <v>144593.19920116058</v>
      </c>
      <c r="Z54" s="203">
        <f t="shared" ref="Z54" si="70">Z53-Y53</f>
        <v>154293.74587744335</v>
      </c>
      <c r="AA54" s="203">
        <f t="shared" ref="AA54" si="71">AA53-Z53</f>
        <v>164652.2819576757</v>
      </c>
      <c r="AB54" s="203">
        <f t="shared" ref="AB54:AE54" si="72">AB53-AA53</f>
        <v>175713.81425696472</v>
      </c>
      <c r="AC54" s="203">
        <f t="shared" si="72"/>
        <v>187526.44744531717</v>
      </c>
      <c r="AD54" s="203">
        <f t="shared" si="72"/>
        <v>200141.59826637246</v>
      </c>
      <c r="AE54" s="203">
        <f t="shared" si="72"/>
        <v>213614.22461989522</v>
      </c>
    </row>
    <row r="55" spans="1:31" ht="18" x14ac:dyDescent="0.25">
      <c r="A55" s="200" t="s">
        <v>288</v>
      </c>
      <c r="B55" s="201"/>
      <c r="C55" s="202"/>
      <c r="D55" s="203"/>
      <c r="E55" s="215">
        <f>E54/D53</f>
        <v>0.21470928024047042</v>
      </c>
      <c r="F55" s="215">
        <f t="shared" ref="F55:V55" si="73">F54/E53</f>
        <v>0.14576524638669183</v>
      </c>
      <c r="G55" s="215">
        <f t="shared" si="73"/>
        <v>0.13239246000031316</v>
      </c>
      <c r="H55" s="215">
        <f t="shared" si="73"/>
        <v>0.12317734817821349</v>
      </c>
      <c r="I55" s="215">
        <f t="shared" si="73"/>
        <v>0.11584720386662249</v>
      </c>
      <c r="J55" s="215">
        <f t="shared" si="73"/>
        <v>0.10969270744051318</v>
      </c>
      <c r="K55" s="215">
        <f t="shared" si="73"/>
        <v>0.10446365953150784</v>
      </c>
      <c r="L55" s="215">
        <f t="shared" si="73"/>
        <v>9.9976208462944999E-2</v>
      </c>
      <c r="M55" s="215">
        <f t="shared" si="73"/>
        <v>9.6092215148347537E-2</v>
      </c>
      <c r="N55" s="215">
        <f t="shared" si="73"/>
        <v>9.2705868107236578E-2</v>
      </c>
      <c r="O55" s="215">
        <f t="shared" si="73"/>
        <v>8.9734741150753111E-2</v>
      </c>
      <c r="P55" s="215">
        <f t="shared" si="73"/>
        <v>8.711366359012232E-2</v>
      </c>
      <c r="Q55" s="215">
        <f t="shared" si="73"/>
        <v>8.479042237292013E-2</v>
      </c>
      <c r="R55" s="215">
        <f t="shared" si="73"/>
        <v>8.2722687743957427E-2</v>
      </c>
      <c r="S55" s="215">
        <f t="shared" si="73"/>
        <v>6.3308459513413726E-2</v>
      </c>
      <c r="T55" s="215">
        <f t="shared" si="73"/>
        <v>6.9482809472148258E-2</v>
      </c>
      <c r="U55" s="215">
        <f t="shared" si="73"/>
        <v>7.2365331020733586E-2</v>
      </c>
      <c r="V55" s="215">
        <f t="shared" si="73"/>
        <v>7.1996231050395501E-2</v>
      </c>
      <c r="W55" s="215">
        <f t="shared" ref="W55" si="74">W54/V53</f>
        <v>7.1656977982422335E-2</v>
      </c>
      <c r="X55" s="215">
        <f t="shared" ref="X55" si="75">X54/W53</f>
        <v>7.1345145318976302E-2</v>
      </c>
      <c r="Y55" s="215">
        <f t="shared" ref="Y55" si="76">Y54/X53</f>
        <v>7.1058534293345604E-2</v>
      </c>
      <c r="Z55" s="215">
        <f t="shared" ref="Z55" si="77">Z54/Y53</f>
        <v>7.0795148172940067E-2</v>
      </c>
      <c r="AA55" s="215">
        <f t="shared" ref="AA55" si="78">AA54/Z53</f>
        <v>7.0553169999036228E-2</v>
      </c>
      <c r="AB55" s="215">
        <f t="shared" ref="AB55:AE55" si="79">AB54/AA53</f>
        <v>7.0330943235752813E-2</v>
      </c>
      <c r="AC55" s="215">
        <f t="shared" si="79"/>
        <v>7.0126954891302593E-2</v>
      </c>
      <c r="AD55" s="215">
        <f t="shared" si="79"/>
        <v>6.9939820748024087E-2</v>
      </c>
      <c r="AE55" s="215">
        <f t="shared" si="79"/>
        <v>6.9768272397564085E-2</v>
      </c>
    </row>
    <row r="56" spans="1:31" ht="18" x14ac:dyDescent="0.25">
      <c r="A56" s="191" t="s">
        <v>308</v>
      </c>
      <c r="B56" s="178"/>
      <c r="C56" s="179"/>
      <c r="D56" s="192"/>
      <c r="E56" s="193">
        <f t="shared" ref="E56:AE56" si="80">E34+E39+E42+E46+E49</f>
        <v>378294.89982274396</v>
      </c>
      <c r="F56" s="199">
        <f t="shared" si="80"/>
        <v>432531.63932825095</v>
      </c>
      <c r="G56" s="199">
        <f t="shared" si="80"/>
        <v>488970.156860644</v>
      </c>
      <c r="H56" s="199">
        <f t="shared" si="80"/>
        <v>548427.31498710206</v>
      </c>
      <c r="I56" s="199">
        <f t="shared" si="80"/>
        <v>611228.74645188684</v>
      </c>
      <c r="J56" s="199">
        <f t="shared" si="80"/>
        <v>677577.0613640974</v>
      </c>
      <c r="K56" s="199">
        <f t="shared" si="80"/>
        <v>747687.80693238741</v>
      </c>
      <c r="L56" s="199">
        <f t="shared" si="80"/>
        <v>821790.32234053733</v>
      </c>
      <c r="M56" s="199">
        <f t="shared" si="80"/>
        <v>900128.65133559785</v>
      </c>
      <c r="N56" s="199">
        <f t="shared" si="80"/>
        <v>982962.51647642383</v>
      </c>
      <c r="O56" s="199">
        <f t="shared" si="80"/>
        <v>1070568.3592626755</v>
      </c>
      <c r="P56" s="199">
        <f t="shared" si="80"/>
        <v>1163240.4506554767</v>
      </c>
      <c r="Q56" s="199">
        <f t="shared" si="80"/>
        <v>1261292.0768122391</v>
      </c>
      <c r="R56" s="199">
        <f t="shared" si="80"/>
        <v>1365056.8051910433</v>
      </c>
      <c r="S56" s="199">
        <f t="shared" si="80"/>
        <v>1451073.075081245</v>
      </c>
      <c r="T56" s="199">
        <f t="shared" si="80"/>
        <v>1551427.6101703863</v>
      </c>
      <c r="U56" s="199">
        <f t="shared" si="80"/>
        <v>1663189.749479536</v>
      </c>
      <c r="V56" s="199">
        <f t="shared" si="80"/>
        <v>1782419.209248241</v>
      </c>
      <c r="W56" s="199">
        <f t="shared" si="80"/>
        <v>1909621.1911516276</v>
      </c>
      <c r="X56" s="199">
        <f t="shared" si="80"/>
        <v>2045335.3912583787</v>
      </c>
      <c r="Y56" s="199">
        <f t="shared" si="80"/>
        <v>2190138.3712683837</v>
      </c>
      <c r="Z56" s="199">
        <f t="shared" si="80"/>
        <v>2344646.0935708475</v>
      </c>
      <c r="AA56" s="199">
        <f t="shared" si="80"/>
        <v>2509516.6314820442</v>
      </c>
      <c r="AB56" s="199">
        <f t="shared" si="80"/>
        <v>2685453.0668116012</v>
      </c>
      <c r="AC56" s="199">
        <f t="shared" si="80"/>
        <v>2873206.587750962</v>
      </c>
      <c r="AD56" s="199">
        <f t="shared" si="80"/>
        <v>3073579.8009812585</v>
      </c>
      <c r="AE56" s="199">
        <f t="shared" si="80"/>
        <v>3287430.2728643566</v>
      </c>
    </row>
    <row r="57" spans="1:31" ht="15" x14ac:dyDescent="0.2">
      <c r="A57" s="120" t="s">
        <v>282</v>
      </c>
      <c r="B57" s="178"/>
      <c r="C57" s="179"/>
      <c r="D57" s="195">
        <f>D53*(0.98)^(COLUMN()-COLUMN($D$57)+1)</f>
        <v>299390.98</v>
      </c>
      <c r="E57" s="196">
        <f t="shared" ref="E57:S57" si="81">E53*(0.98)^(COLUMN()-COLUMN($D$57)+1)</f>
        <v>356399.54178976326</v>
      </c>
      <c r="F57" s="197">
        <f t="shared" si="81"/>
        <v>400183.20463463513</v>
      </c>
      <c r="G57" s="197">
        <f t="shared" si="81"/>
        <v>444101.15467608272</v>
      </c>
      <c r="H57" s="197">
        <f t="shared" si="81"/>
        <v>488828.27008732589</v>
      </c>
      <c r="I57" s="197">
        <f t="shared" si="81"/>
        <v>534548.50518094271</v>
      </c>
      <c r="J57" s="197">
        <f t="shared" si="81"/>
        <v>581320.88641306909</v>
      </c>
      <c r="K57" s="197">
        <f t="shared" si="81"/>
        <v>629206.8376984807</v>
      </c>
      <c r="L57" s="197">
        <f t="shared" si="81"/>
        <v>678270.30063712364</v>
      </c>
      <c r="M57" s="197">
        <f t="shared" si="81"/>
        <v>728577.86036878685</v>
      </c>
      <c r="N57" s="197">
        <f t="shared" si="81"/>
        <v>780198.87733002845</v>
      </c>
      <c r="O57" s="197">
        <f t="shared" si="81"/>
        <v>833205.62520067976</v>
      </c>
      <c r="P57" s="197">
        <f t="shared" si="81"/>
        <v>887673.43534109311</v>
      </c>
      <c r="Q57" s="197">
        <f t="shared" si="81"/>
        <v>943680.84803582774</v>
      </c>
      <c r="R57" s="197">
        <f t="shared" si="81"/>
        <v>1001309.7708746914</v>
      </c>
      <c r="S57" s="197">
        <f t="shared" si="81"/>
        <v>1043407.1269652074</v>
      </c>
      <c r="T57" s="197">
        <f t="shared" ref="T57:U57" si="82">T53*(0.98)^(COLUMN()-COLUMN($D$57)+1)</f>
        <v>1093587.8658586123</v>
      </c>
      <c r="U57" s="197">
        <f t="shared" si="82"/>
        <v>1149271.1994962937</v>
      </c>
      <c r="V57" s="197">
        <f t="shared" ref="V57:AB57" si="83">V53*(0.98)^(COLUMN()-COLUMN($D$57)+1)</f>
        <v>1207374.1064284982</v>
      </c>
      <c r="W57" s="197">
        <f t="shared" si="83"/>
        <v>1268013.0684656042</v>
      </c>
      <c r="X57" s="197">
        <f t="shared" si="83"/>
        <v>1331310.0521996107</v>
      </c>
      <c r="Y57" s="197">
        <f t="shared" si="83"/>
        <v>1397392.7733349341</v>
      </c>
      <c r="Z57" s="197">
        <f t="shared" si="83"/>
        <v>1466394.9737433968</v>
      </c>
      <c r="AA57" s="197">
        <f t="shared" si="83"/>
        <v>1538456.7118594141</v>
      </c>
      <c r="AB57" s="197">
        <f t="shared" si="83"/>
        <v>1613724.6670612241</v>
      </c>
      <c r="AC57" s="197">
        <f t="shared" ref="AC57:AE57" si="84">AC53*(0.98)^(COLUMN()-COLUMN($D$57)+1)</f>
        <v>1692352.4587153047</v>
      </c>
      <c r="AD57" s="197">
        <f t="shared" si="84"/>
        <v>1774500.9805939239</v>
      </c>
      <c r="AE57" s="197">
        <f t="shared" si="84"/>
        <v>1860338.7514101907</v>
      </c>
    </row>
    <row r="58" spans="1:31" ht="15" x14ac:dyDescent="0.2">
      <c r="A58" s="120" t="s">
        <v>285</v>
      </c>
      <c r="B58" s="178"/>
      <c r="C58" s="179"/>
      <c r="D58" s="198"/>
      <c r="E58" s="186">
        <f t="shared" ref="E58:V58" si="85">(E53-E57)-(D53-D57)</f>
        <v>8585.3380329806823</v>
      </c>
      <c r="F58" s="187">
        <f t="shared" si="85"/>
        <v>10309.076660635124</v>
      </c>
      <c r="G58" s="187">
        <f t="shared" si="85"/>
        <v>12373.687490945449</v>
      </c>
      <c r="H58" s="187">
        <f t="shared" si="85"/>
        <v>14580.225115214824</v>
      </c>
      <c r="I58" s="187">
        <f t="shared" si="85"/>
        <v>16928.38241916796</v>
      </c>
      <c r="J58" s="187">
        <f t="shared" si="85"/>
        <v>19420.063449044246</v>
      </c>
      <c r="K58" s="187">
        <f t="shared" si="85"/>
        <v>22065.8066472176</v>
      </c>
      <c r="L58" s="187">
        <f t="shared" si="85"/>
        <v>24876.88508113299</v>
      </c>
      <c r="M58" s="187">
        <f t="shared" si="85"/>
        <v>27865.358527255827</v>
      </c>
      <c r="N58" s="187">
        <f t="shared" si="85"/>
        <v>31044.129228720092</v>
      </c>
      <c r="O58" s="187">
        <f t="shared" si="85"/>
        <v>34427.001585718594</v>
      </c>
      <c r="P58" s="187">
        <f t="shared" si="85"/>
        <v>38028.746055908618</v>
      </c>
      <c r="Q58" s="187">
        <f t="shared" si="85"/>
        <v>41865.16756161896</v>
      </c>
      <c r="R58" s="187">
        <f t="shared" si="85"/>
        <v>45953.178721523611</v>
      </c>
      <c r="S58" s="187">
        <f t="shared" si="85"/>
        <v>43732.634444900439</v>
      </c>
      <c r="T58" s="187">
        <f t="shared" si="85"/>
        <v>49983.791253855103</v>
      </c>
      <c r="U58" s="187">
        <f t="shared" si="85"/>
        <v>55885.000630749622</v>
      </c>
      <c r="V58" s="187">
        <f t="shared" si="85"/>
        <v>60928.871694967616</v>
      </c>
      <c r="W58" s="187">
        <f t="shared" ref="W58" si="86">(W53-W57)-(V53-V57)</f>
        <v>66361.385101916734</v>
      </c>
      <c r="X58" s="187">
        <f t="shared" ref="X58" si="87">(X53-X57)-(W53-W57)</f>
        <v>72211.548913093749</v>
      </c>
      <c r="Y58" s="187">
        <f t="shared" ref="Y58" si="88">(Y53-Y57)-(X53-X57)</f>
        <v>78510.478065837175</v>
      </c>
      <c r="Z58" s="187">
        <f t="shared" ref="Z58" si="89">(Z53-Z57)-(Y53-Y57)</f>
        <v>85291.545468980679</v>
      </c>
      <c r="AA58" s="187">
        <f t="shared" ref="AA58" si="90">(AA53-AA57)-(Z53-Z57)</f>
        <v>92590.543841658393</v>
      </c>
      <c r="AB58" s="187">
        <f t="shared" ref="AB58:AE58" si="91">(AB53-AB57)-(AA53-AA57)</f>
        <v>100445.85905515472</v>
      </c>
      <c r="AC58" s="187">
        <f t="shared" si="91"/>
        <v>108898.65579123655</v>
      </c>
      <c r="AD58" s="187">
        <f t="shared" si="91"/>
        <v>117993.07638775324</v>
      </c>
      <c r="AE58" s="187">
        <f t="shared" si="91"/>
        <v>127776.45380362845</v>
      </c>
    </row>
    <row r="59" spans="1:31" x14ac:dyDescent="0.2"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31" x14ac:dyDescent="0.2">
      <c r="C60" t="s">
        <v>99</v>
      </c>
      <c r="D60" s="7">
        <f>S45-B45</f>
        <v>124512.60179668682</v>
      </c>
      <c r="E60" s="63">
        <f>(D60/B45)</f>
        <v>0.34586833832413005</v>
      </c>
    </row>
    <row r="61" spans="1:31" x14ac:dyDescent="0.2">
      <c r="C61" t="s">
        <v>100</v>
      </c>
      <c r="D61" s="7">
        <f>S39-B38</f>
        <v>652547.96082749113</v>
      </c>
      <c r="E61" s="63">
        <f>D61/S39</f>
        <v>0.86184998783370947</v>
      </c>
      <c r="R61" t="s">
        <v>97</v>
      </c>
      <c r="S61" s="7">
        <f>SUM(S45,S39-P65,S34)</f>
        <v>1208453.2172771182</v>
      </c>
    </row>
    <row r="64" spans="1:31" x14ac:dyDescent="0.2">
      <c r="N64" s="3" t="s">
        <v>114</v>
      </c>
      <c r="O64" s="3" t="s">
        <v>115</v>
      </c>
      <c r="P64" s="3" t="s">
        <v>116</v>
      </c>
    </row>
    <row r="65" spans="4:16" x14ac:dyDescent="0.2">
      <c r="D65" t="s">
        <v>105</v>
      </c>
      <c r="E65" t="s">
        <v>117</v>
      </c>
      <c r="N65" s="66">
        <f>S39-S38</f>
        <v>380629.38138823881</v>
      </c>
      <c r="O65" s="66">
        <f>N65*0.75</f>
        <v>285472.03604117909</v>
      </c>
      <c r="P65" s="66">
        <f>N65-O65</f>
        <v>95157.345347059716</v>
      </c>
    </row>
    <row r="66" spans="4:16" x14ac:dyDescent="0.2">
      <c r="D66" s="7">
        <v>650</v>
      </c>
      <c r="E66" s="7">
        <f>D66*12*15</f>
        <v>117000</v>
      </c>
    </row>
    <row r="67" spans="4:16" x14ac:dyDescent="0.2">
      <c r="D67" t="s">
        <v>118</v>
      </c>
      <c r="E67" s="7">
        <v>21500</v>
      </c>
    </row>
    <row r="68" spans="4:16" x14ac:dyDescent="0.2">
      <c r="D68" t="s">
        <v>61</v>
      </c>
      <c r="E68" s="7">
        <v>85000</v>
      </c>
    </row>
    <row r="69" spans="4:16" x14ac:dyDescent="0.2">
      <c r="D69" t="s">
        <v>41</v>
      </c>
      <c r="E69" s="7">
        <f>E66-E67-E68</f>
        <v>10500</v>
      </c>
    </row>
    <row r="72" spans="4:16" x14ac:dyDescent="0.2">
      <c r="D72" t="s">
        <v>105</v>
      </c>
      <c r="E72" t="s">
        <v>117</v>
      </c>
    </row>
    <row r="73" spans="4:16" x14ac:dyDescent="0.2">
      <c r="D73" s="7">
        <v>850</v>
      </c>
      <c r="E73" s="7">
        <f>D73*12*15</f>
        <v>153000</v>
      </c>
    </row>
    <row r="74" spans="4:16" x14ac:dyDescent="0.2">
      <c r="D74" t="s">
        <v>118</v>
      </c>
      <c r="E74" s="7">
        <v>21500</v>
      </c>
    </row>
    <row r="75" spans="4:16" x14ac:dyDescent="0.2">
      <c r="D75" t="s">
        <v>61</v>
      </c>
      <c r="E75" s="7">
        <v>85000</v>
      </c>
    </row>
    <row r="76" spans="4:16" x14ac:dyDescent="0.2">
      <c r="D76" t="s">
        <v>41</v>
      </c>
      <c r="E76" s="7">
        <f>E73-E74-E75</f>
        <v>46500</v>
      </c>
    </row>
    <row r="82" spans="5:5" x14ac:dyDescent="0.2">
      <c r="E82" s="7"/>
    </row>
    <row r="83" spans="5:5" x14ac:dyDescent="0.2">
      <c r="E83" s="7"/>
    </row>
  </sheetData>
  <mergeCells count="3">
    <mergeCell ref="I18:J18"/>
    <mergeCell ref="M15:N15"/>
    <mergeCell ref="M16:N16"/>
  </mergeCells>
  <phoneticPr fontId="7" type="noConversion"/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E3D8-3881-4CBE-9691-CFF41D3EBD5D}">
  <dimension ref="A1:AE86"/>
  <sheetViews>
    <sheetView zoomScale="115" zoomScaleNormal="115" workbookViewId="0">
      <pane xSplit="1" topLeftCell="B1" activePane="topRight" state="frozen"/>
      <selection activeCell="A13" sqref="A13"/>
      <selection pane="topRight" activeCell="C43" sqref="C43"/>
    </sheetView>
  </sheetViews>
  <sheetFormatPr baseColWidth="10" defaultRowHeight="14.25" x14ac:dyDescent="0.2"/>
  <cols>
    <col min="1" max="1" width="49.125" bestFit="1" customWidth="1"/>
    <col min="2" max="2" width="16.25" style="7" customWidth="1"/>
    <col min="3" max="31" width="16.25" customWidth="1"/>
  </cols>
  <sheetData>
    <row r="1" spans="1:16" x14ac:dyDescent="0.2">
      <c r="A1" t="s">
        <v>69</v>
      </c>
    </row>
    <row r="4" spans="1:16" x14ac:dyDescent="0.2">
      <c r="A4" t="s">
        <v>70</v>
      </c>
      <c r="B4" s="7">
        <v>322000</v>
      </c>
      <c r="J4" s="64"/>
      <c r="K4" s="64"/>
      <c r="N4" s="64" t="s">
        <v>102</v>
      </c>
      <c r="O4" s="64">
        <v>1350</v>
      </c>
      <c r="P4" s="64">
        <v>1350</v>
      </c>
    </row>
    <row r="5" spans="1:16" x14ac:dyDescent="0.2">
      <c r="A5" t="s">
        <v>228</v>
      </c>
      <c r="B5" s="7">
        <v>38000</v>
      </c>
      <c r="J5" s="64"/>
      <c r="K5" s="64"/>
      <c r="N5" s="64" t="s">
        <v>103</v>
      </c>
      <c r="O5" s="64">
        <v>80</v>
      </c>
      <c r="P5" s="64">
        <v>80</v>
      </c>
    </row>
    <row r="6" spans="1:16" x14ac:dyDescent="0.2">
      <c r="A6" t="s">
        <v>49</v>
      </c>
      <c r="B6" s="7">
        <v>19800</v>
      </c>
      <c r="J6" s="65"/>
      <c r="K6" s="65"/>
      <c r="N6" s="64" t="s">
        <v>109</v>
      </c>
      <c r="O6" s="64">
        <v>140</v>
      </c>
      <c r="P6" s="64">
        <v>140</v>
      </c>
    </row>
    <row r="7" spans="1:16" x14ac:dyDescent="0.2">
      <c r="A7" t="s">
        <v>50</v>
      </c>
      <c r="B7" s="7">
        <f>SUM(B4:B6)</f>
        <v>379800</v>
      </c>
      <c r="N7" s="65" t="s">
        <v>104</v>
      </c>
      <c r="O7" s="65">
        <f>SUM(O4:O6)</f>
        <v>1570</v>
      </c>
      <c r="P7" s="65">
        <f>SUM(P4:P6)</f>
        <v>1570</v>
      </c>
    </row>
    <row r="8" spans="1:16" x14ac:dyDescent="0.2">
      <c r="N8" t="s">
        <v>105</v>
      </c>
      <c r="O8">
        <v>650</v>
      </c>
      <c r="P8">
        <v>650</v>
      </c>
    </row>
    <row r="9" spans="1:16" x14ac:dyDescent="0.2">
      <c r="A9" t="s">
        <v>51</v>
      </c>
      <c r="B9" s="7">
        <v>92000</v>
      </c>
      <c r="N9" t="s">
        <v>107</v>
      </c>
      <c r="O9">
        <v>300</v>
      </c>
      <c r="P9">
        <v>300</v>
      </c>
    </row>
    <row r="10" spans="1:16" x14ac:dyDescent="0.2">
      <c r="A10" t="s">
        <v>52</v>
      </c>
      <c r="B10" s="7">
        <f>B7-B9</f>
        <v>287800</v>
      </c>
      <c r="N10" t="s">
        <v>106</v>
      </c>
      <c r="O10">
        <v>240</v>
      </c>
      <c r="P10">
        <v>240</v>
      </c>
    </row>
    <row r="11" spans="1:16" x14ac:dyDescent="0.2">
      <c r="A11" t="s">
        <v>55</v>
      </c>
      <c r="B11" s="61">
        <v>3.4799999999999998E-2</v>
      </c>
      <c r="J11" s="3"/>
      <c r="K11" s="3"/>
      <c r="N11" t="s">
        <v>108</v>
      </c>
      <c r="O11">
        <v>70</v>
      </c>
      <c r="P11">
        <v>70</v>
      </c>
    </row>
    <row r="12" spans="1:16" x14ac:dyDescent="0.2">
      <c r="A12" t="s">
        <v>72</v>
      </c>
      <c r="B12" s="7">
        <v>1350</v>
      </c>
      <c r="J12" s="64"/>
      <c r="K12" s="64"/>
      <c r="N12" t="s">
        <v>111</v>
      </c>
      <c r="O12">
        <v>150</v>
      </c>
    </row>
    <row r="13" spans="1:16" x14ac:dyDescent="0.2">
      <c r="A13" t="s">
        <v>229</v>
      </c>
      <c r="B13" s="7">
        <v>650</v>
      </c>
      <c r="J13" s="64"/>
      <c r="K13" s="64"/>
    </row>
    <row r="14" spans="1:16" x14ac:dyDescent="0.2">
      <c r="A14" t="s">
        <v>98</v>
      </c>
      <c r="B14" s="7">
        <v>32000</v>
      </c>
      <c r="N14" t="s">
        <v>110</v>
      </c>
      <c r="O14">
        <v>75</v>
      </c>
    </row>
    <row r="15" spans="1:16" x14ac:dyDescent="0.2">
      <c r="A15" t="s">
        <v>78</v>
      </c>
      <c r="B15" s="7">
        <f>600*12</f>
        <v>7200</v>
      </c>
      <c r="J15" s="64"/>
      <c r="K15" s="64"/>
      <c r="M15" s="264" t="s">
        <v>113</v>
      </c>
      <c r="N15" s="264"/>
      <c r="O15" s="3">
        <f>O7-SUM(O8:O14)</f>
        <v>85</v>
      </c>
      <c r="P15" s="3">
        <f>P7-SUM(P8:P14)</f>
        <v>310</v>
      </c>
    </row>
    <row r="16" spans="1:16" x14ac:dyDescent="0.2">
      <c r="A16" t="s">
        <v>76</v>
      </c>
      <c r="B16" s="7">
        <f>B14-B15</f>
        <v>24800</v>
      </c>
      <c r="M16" s="264" t="s">
        <v>112</v>
      </c>
      <c r="N16" s="264"/>
      <c r="O16" s="3">
        <f>O15*12</f>
        <v>1020</v>
      </c>
      <c r="P16" s="3">
        <f>P15*12</f>
        <v>3720</v>
      </c>
    </row>
    <row r="17" spans="1:31" x14ac:dyDescent="0.2">
      <c r="A17" t="s">
        <v>93</v>
      </c>
      <c r="B17" s="7">
        <v>10000</v>
      </c>
    </row>
    <row r="18" spans="1:31" x14ac:dyDescent="0.2">
      <c r="A18" t="s">
        <v>94</v>
      </c>
      <c r="B18" s="7">
        <f>B16-B17</f>
        <v>14800</v>
      </c>
      <c r="C18" s="7" t="s">
        <v>101</v>
      </c>
      <c r="D18" s="7">
        <f>'Haushalt (Cash)'!G38</f>
        <v>11950</v>
      </c>
      <c r="I18" s="264"/>
      <c r="J18" s="264"/>
      <c r="K18" s="3"/>
    </row>
    <row r="19" spans="1:31" x14ac:dyDescent="0.2">
      <c r="A19" t="s">
        <v>230</v>
      </c>
      <c r="B19" s="62">
        <v>1.07</v>
      </c>
    </row>
    <row r="20" spans="1:31" x14ac:dyDescent="0.2">
      <c r="A20" t="s">
        <v>302</v>
      </c>
      <c r="B20" s="62">
        <v>1.05</v>
      </c>
    </row>
    <row r="28" spans="1:31" x14ac:dyDescent="0.2">
      <c r="A28" t="s">
        <v>53</v>
      </c>
      <c r="B28" s="7">
        <v>116000</v>
      </c>
    </row>
    <row r="29" spans="1:31" x14ac:dyDescent="0.2">
      <c r="A29" t="s">
        <v>54</v>
      </c>
      <c r="B29" s="7">
        <v>104600</v>
      </c>
    </row>
    <row r="31" spans="1:31" x14ac:dyDescent="0.2">
      <c r="A31" s="120" t="s">
        <v>289</v>
      </c>
      <c r="B31" s="178"/>
      <c r="C31" s="179"/>
      <c r="D31" s="179"/>
      <c r="E31" s="126">
        <v>37</v>
      </c>
      <c r="F31" s="120">
        <v>38</v>
      </c>
      <c r="G31" s="120">
        <v>39</v>
      </c>
      <c r="H31" s="120">
        <v>40</v>
      </c>
      <c r="I31" s="120">
        <v>41</v>
      </c>
      <c r="J31" s="120">
        <v>42</v>
      </c>
      <c r="K31" s="120">
        <v>43</v>
      </c>
      <c r="L31" s="120">
        <v>44</v>
      </c>
      <c r="M31" s="120">
        <v>45</v>
      </c>
      <c r="N31" s="120">
        <v>46</v>
      </c>
      <c r="O31" s="120">
        <v>47</v>
      </c>
      <c r="P31" s="120">
        <v>48</v>
      </c>
      <c r="Q31" s="120">
        <v>49</v>
      </c>
      <c r="R31" s="120">
        <v>50</v>
      </c>
      <c r="S31" s="120">
        <v>51</v>
      </c>
      <c r="T31" s="120">
        <v>52</v>
      </c>
      <c r="U31" s="120">
        <v>53</v>
      </c>
      <c r="V31" s="120">
        <v>54</v>
      </c>
      <c r="W31" s="120">
        <v>55</v>
      </c>
      <c r="X31" s="120">
        <v>56</v>
      </c>
      <c r="Y31" s="120">
        <v>57</v>
      </c>
      <c r="Z31" s="120">
        <v>58</v>
      </c>
      <c r="AA31" s="120">
        <v>59</v>
      </c>
      <c r="AB31" s="120">
        <v>60</v>
      </c>
      <c r="AC31" s="120">
        <v>61</v>
      </c>
      <c r="AD31" s="120">
        <v>62</v>
      </c>
      <c r="AE31" s="120">
        <v>63</v>
      </c>
    </row>
    <row r="32" spans="1:31" x14ac:dyDescent="0.2">
      <c r="A32" s="120"/>
      <c r="B32" s="180"/>
      <c r="C32" s="181"/>
      <c r="D32" s="181"/>
      <c r="E32" s="182">
        <v>1</v>
      </c>
      <c r="F32" s="117">
        <v>2</v>
      </c>
      <c r="G32" s="117">
        <v>3</v>
      </c>
      <c r="H32" s="117">
        <v>4</v>
      </c>
      <c r="I32" s="117">
        <v>5</v>
      </c>
      <c r="J32" s="117">
        <v>6</v>
      </c>
      <c r="K32" s="117">
        <v>7</v>
      </c>
      <c r="L32" s="117">
        <v>8</v>
      </c>
      <c r="M32" s="117">
        <v>9</v>
      </c>
      <c r="N32" s="117">
        <v>10</v>
      </c>
      <c r="O32" s="117">
        <v>11</v>
      </c>
      <c r="P32" s="117">
        <v>12</v>
      </c>
      <c r="Q32" s="117">
        <v>13</v>
      </c>
      <c r="R32" s="117">
        <v>14</v>
      </c>
      <c r="S32" s="117">
        <v>15</v>
      </c>
      <c r="T32" s="117">
        <v>16</v>
      </c>
      <c r="U32" s="117">
        <v>17</v>
      </c>
      <c r="V32" s="117">
        <v>18</v>
      </c>
      <c r="W32" s="117">
        <v>19</v>
      </c>
      <c r="X32" s="117">
        <v>20</v>
      </c>
      <c r="Y32" s="117">
        <v>21</v>
      </c>
      <c r="Z32" s="117">
        <v>22</v>
      </c>
      <c r="AA32" s="117">
        <v>23</v>
      </c>
      <c r="AB32" s="117">
        <v>24</v>
      </c>
      <c r="AC32" s="117">
        <v>25</v>
      </c>
      <c r="AD32" s="117">
        <v>26</v>
      </c>
      <c r="AE32" s="117">
        <v>27</v>
      </c>
    </row>
    <row r="33" spans="1:31" x14ac:dyDescent="0.2">
      <c r="A33" s="120"/>
      <c r="B33" s="181">
        <v>2025</v>
      </c>
      <c r="C33" s="181" t="s">
        <v>73</v>
      </c>
      <c r="D33" s="181" t="s">
        <v>74</v>
      </c>
      <c r="E33" s="182" t="s">
        <v>75</v>
      </c>
      <c r="F33" s="117" t="s">
        <v>79</v>
      </c>
      <c r="G33" s="117" t="s">
        <v>80</v>
      </c>
      <c r="H33" s="117" t="s">
        <v>81</v>
      </c>
      <c r="I33" s="117" t="s">
        <v>82</v>
      </c>
      <c r="J33" s="117" t="s">
        <v>83</v>
      </c>
      <c r="K33" s="117" t="s">
        <v>84</v>
      </c>
      <c r="L33" s="117" t="s">
        <v>85</v>
      </c>
      <c r="M33" s="117" t="s">
        <v>86</v>
      </c>
      <c r="N33" s="117" t="s">
        <v>87</v>
      </c>
      <c r="O33" s="117" t="s">
        <v>88</v>
      </c>
      <c r="P33" s="117" t="s">
        <v>89</v>
      </c>
      <c r="Q33" s="117" t="s">
        <v>90</v>
      </c>
      <c r="R33" s="117" t="s">
        <v>91</v>
      </c>
      <c r="S33" s="117" t="s">
        <v>92</v>
      </c>
      <c r="T33" s="117" t="s">
        <v>290</v>
      </c>
      <c r="U33" s="117" t="s">
        <v>291</v>
      </c>
      <c r="V33" s="117" t="s">
        <v>292</v>
      </c>
      <c r="W33" s="117" t="s">
        <v>293</v>
      </c>
      <c r="X33" s="117" t="s">
        <v>294</v>
      </c>
      <c r="Y33" s="117" t="s">
        <v>295</v>
      </c>
      <c r="Z33" s="117" t="s">
        <v>296</v>
      </c>
      <c r="AA33" s="117" t="s">
        <v>297</v>
      </c>
      <c r="AB33" s="117" t="s">
        <v>298</v>
      </c>
      <c r="AC33" s="117" t="s">
        <v>304</v>
      </c>
      <c r="AD33" s="117" t="s">
        <v>305</v>
      </c>
      <c r="AE33" s="117" t="s">
        <v>306</v>
      </c>
    </row>
    <row r="34" spans="1:31" s="214" customFormat="1" ht="15" x14ac:dyDescent="0.2">
      <c r="A34" s="204" t="s">
        <v>53</v>
      </c>
      <c r="B34" s="205">
        <f>B28</f>
        <v>116000</v>
      </c>
      <c r="C34" s="205">
        <f>B34-B9</f>
        <v>24000</v>
      </c>
      <c r="D34" s="205">
        <v>30000</v>
      </c>
      <c r="E34" s="207">
        <f>'Haushalt (Cash)'!C7</f>
        <v>47934</v>
      </c>
      <c r="F34" s="208">
        <f>E34+$D18</f>
        <v>59884</v>
      </c>
      <c r="G34" s="208">
        <f>F34-F35+$D18</f>
        <v>65550</v>
      </c>
      <c r="H34" s="208">
        <f>G34-G35+$D18</f>
        <v>65550</v>
      </c>
      <c r="I34" s="208">
        <f>H34-H35+$D18</f>
        <v>65550</v>
      </c>
      <c r="J34" s="208">
        <f t="shared" ref="J34:AE34" si="0">I34-I35+$D18</f>
        <v>65550</v>
      </c>
      <c r="K34" s="208">
        <f t="shared" si="0"/>
        <v>65550</v>
      </c>
      <c r="L34" s="208">
        <f t="shared" si="0"/>
        <v>65550</v>
      </c>
      <c r="M34" s="208">
        <f t="shared" si="0"/>
        <v>65550</v>
      </c>
      <c r="N34" s="208">
        <f t="shared" si="0"/>
        <v>65550</v>
      </c>
      <c r="O34" s="208">
        <f t="shared" si="0"/>
        <v>65550</v>
      </c>
      <c r="P34" s="208">
        <f t="shared" si="0"/>
        <v>65550</v>
      </c>
      <c r="Q34" s="208">
        <f t="shared" si="0"/>
        <v>65550</v>
      </c>
      <c r="R34" s="208">
        <f t="shared" si="0"/>
        <v>65550</v>
      </c>
      <c r="S34" s="208">
        <f t="shared" si="0"/>
        <v>65550</v>
      </c>
      <c r="T34" s="208">
        <f t="shared" si="0"/>
        <v>65550</v>
      </c>
      <c r="U34" s="208">
        <f t="shared" si="0"/>
        <v>65550</v>
      </c>
      <c r="V34" s="208">
        <f t="shared" si="0"/>
        <v>65550</v>
      </c>
      <c r="W34" s="208">
        <f t="shared" si="0"/>
        <v>65550</v>
      </c>
      <c r="X34" s="208">
        <f t="shared" si="0"/>
        <v>65550</v>
      </c>
      <c r="Y34" s="208">
        <f t="shared" si="0"/>
        <v>65550</v>
      </c>
      <c r="Z34" s="208">
        <f t="shared" si="0"/>
        <v>65550</v>
      </c>
      <c r="AA34" s="208">
        <f t="shared" si="0"/>
        <v>65550</v>
      </c>
      <c r="AB34" s="208">
        <f t="shared" si="0"/>
        <v>65550</v>
      </c>
      <c r="AC34" s="208">
        <f t="shared" si="0"/>
        <v>65550</v>
      </c>
      <c r="AD34" s="208">
        <f t="shared" si="0"/>
        <v>65550</v>
      </c>
      <c r="AE34" s="208">
        <f t="shared" si="0"/>
        <v>65550</v>
      </c>
    </row>
    <row r="35" spans="1:31" x14ac:dyDescent="0.2">
      <c r="A35" s="117" t="s">
        <v>286</v>
      </c>
      <c r="B35" s="180"/>
      <c r="C35" s="180"/>
      <c r="D35" s="180"/>
      <c r="E35" s="183"/>
      <c r="F35" s="184">
        <f>F34-50000-(12*300)</f>
        <v>6284</v>
      </c>
      <c r="G35" s="184">
        <f>G34-50000-(12*300)</f>
        <v>11950</v>
      </c>
      <c r="H35" s="184">
        <f>H34-50000-(12*300)</f>
        <v>11950</v>
      </c>
      <c r="I35" s="184">
        <f>I34-50000-(12*300)</f>
        <v>11950</v>
      </c>
      <c r="J35" s="184">
        <f t="shared" ref="J35:AE35" si="1">J34-50000-(12*300)</f>
        <v>11950</v>
      </c>
      <c r="K35" s="184">
        <f t="shared" si="1"/>
        <v>11950</v>
      </c>
      <c r="L35" s="184">
        <f t="shared" si="1"/>
        <v>11950</v>
      </c>
      <c r="M35" s="184">
        <f t="shared" si="1"/>
        <v>11950</v>
      </c>
      <c r="N35" s="184">
        <f t="shared" si="1"/>
        <v>11950</v>
      </c>
      <c r="O35" s="184">
        <f t="shared" si="1"/>
        <v>11950</v>
      </c>
      <c r="P35" s="184">
        <f t="shared" si="1"/>
        <v>11950</v>
      </c>
      <c r="Q35" s="184">
        <f t="shared" si="1"/>
        <v>11950</v>
      </c>
      <c r="R35" s="184">
        <f t="shared" si="1"/>
        <v>11950</v>
      </c>
      <c r="S35" s="184">
        <f t="shared" si="1"/>
        <v>11950</v>
      </c>
      <c r="T35" s="184">
        <f t="shared" si="1"/>
        <v>11950</v>
      </c>
      <c r="U35" s="184">
        <f t="shared" si="1"/>
        <v>11950</v>
      </c>
      <c r="V35" s="184">
        <f t="shared" si="1"/>
        <v>11950</v>
      </c>
      <c r="W35" s="184">
        <f t="shared" si="1"/>
        <v>11950</v>
      </c>
      <c r="X35" s="184">
        <f t="shared" si="1"/>
        <v>11950</v>
      </c>
      <c r="Y35" s="184">
        <f t="shared" si="1"/>
        <v>11950</v>
      </c>
      <c r="Z35" s="184">
        <f t="shared" si="1"/>
        <v>11950</v>
      </c>
      <c r="AA35" s="184">
        <f t="shared" si="1"/>
        <v>11950</v>
      </c>
      <c r="AB35" s="184">
        <f t="shared" si="1"/>
        <v>11950</v>
      </c>
      <c r="AC35" s="184">
        <f t="shared" si="1"/>
        <v>11950</v>
      </c>
      <c r="AD35" s="184">
        <f t="shared" si="1"/>
        <v>11950</v>
      </c>
      <c r="AE35" s="184">
        <f t="shared" si="1"/>
        <v>11950</v>
      </c>
    </row>
    <row r="36" spans="1:31" x14ac:dyDescent="0.2">
      <c r="A36" s="120" t="s">
        <v>299</v>
      </c>
      <c r="B36" s="178"/>
      <c r="C36" s="179"/>
      <c r="D36" s="179"/>
      <c r="E36" s="126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85">
        <f>1350*9</f>
        <v>12150</v>
      </c>
      <c r="T36" s="185">
        <f>1350*12</f>
        <v>16200</v>
      </c>
      <c r="U36" s="185">
        <f>1350*12</f>
        <v>16200</v>
      </c>
      <c r="V36" s="185">
        <f>1350*12</f>
        <v>16200</v>
      </c>
      <c r="W36" s="185">
        <f t="shared" ref="W36:AE36" si="2">1350*12</f>
        <v>16200</v>
      </c>
      <c r="X36" s="185">
        <f t="shared" si="2"/>
        <v>16200</v>
      </c>
      <c r="Y36" s="185">
        <f t="shared" si="2"/>
        <v>16200</v>
      </c>
      <c r="Z36" s="185">
        <f t="shared" si="2"/>
        <v>16200</v>
      </c>
      <c r="AA36" s="185">
        <f t="shared" si="2"/>
        <v>16200</v>
      </c>
      <c r="AB36" s="185">
        <f t="shared" si="2"/>
        <v>16200</v>
      </c>
      <c r="AC36" s="185">
        <f t="shared" si="2"/>
        <v>16200</v>
      </c>
      <c r="AD36" s="185">
        <f t="shared" si="2"/>
        <v>16200</v>
      </c>
      <c r="AE36" s="185">
        <f t="shared" si="2"/>
        <v>16200</v>
      </c>
    </row>
    <row r="37" spans="1:31" x14ac:dyDescent="0.2">
      <c r="A37" s="120"/>
      <c r="B37" s="178"/>
      <c r="C37" s="179"/>
      <c r="D37" s="179"/>
      <c r="E37" s="126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  <c r="AE37" s="120"/>
    </row>
    <row r="38" spans="1:31" x14ac:dyDescent="0.2">
      <c r="A38" s="120" t="s">
        <v>77</v>
      </c>
      <c r="B38" s="178">
        <v>104600</v>
      </c>
      <c r="C38" s="179"/>
      <c r="D38" s="178">
        <f>D39/1.07</f>
        <v>115234.57943925232</v>
      </c>
      <c r="E38" s="186">
        <f>D38+B15</f>
        <v>122434.57943925232</v>
      </c>
      <c r="F38" s="187">
        <f>E38+B15</f>
        <v>129634.57943925232</v>
      </c>
      <c r="G38" s="187">
        <f>F38+$B15+F35</f>
        <v>143118.57943925232</v>
      </c>
      <c r="H38" s="187">
        <f>G38+$B15+G35</f>
        <v>162268.57943925232</v>
      </c>
      <c r="I38" s="187">
        <f t="shared" ref="I38:S38" si="3">H38+$B15+H35</f>
        <v>181418.57943925232</v>
      </c>
      <c r="J38" s="187">
        <f t="shared" si="3"/>
        <v>200568.57943925232</v>
      </c>
      <c r="K38" s="187">
        <f t="shared" si="3"/>
        <v>219718.57943925232</v>
      </c>
      <c r="L38" s="187">
        <f t="shared" si="3"/>
        <v>238868.57943925232</v>
      </c>
      <c r="M38" s="187">
        <f t="shared" si="3"/>
        <v>258018.57943925232</v>
      </c>
      <c r="N38" s="187">
        <f t="shared" si="3"/>
        <v>277168.57943925232</v>
      </c>
      <c r="O38" s="187">
        <f t="shared" si="3"/>
        <v>296318.57943925232</v>
      </c>
      <c r="P38" s="187">
        <f t="shared" si="3"/>
        <v>315468.57943925232</v>
      </c>
      <c r="Q38" s="187">
        <f t="shared" si="3"/>
        <v>334618.57943925232</v>
      </c>
      <c r="R38" s="187">
        <f t="shared" si="3"/>
        <v>353768.57943925232</v>
      </c>
      <c r="S38" s="187">
        <f t="shared" si="3"/>
        <v>372918.57943925232</v>
      </c>
      <c r="T38" s="187">
        <f>S38+$B15+S35+S36</f>
        <v>404218.57943925232</v>
      </c>
      <c r="U38" s="187">
        <f t="shared" ref="U38:AE38" si="4">T38+$B15+T35+T36</f>
        <v>439568.57943925232</v>
      </c>
      <c r="V38" s="187">
        <f t="shared" si="4"/>
        <v>474918.57943925232</v>
      </c>
      <c r="W38" s="187">
        <f t="shared" si="4"/>
        <v>510268.57943925232</v>
      </c>
      <c r="X38" s="187">
        <f t="shared" si="4"/>
        <v>545618.57943925238</v>
      </c>
      <c r="Y38" s="187">
        <f t="shared" si="4"/>
        <v>580968.57943925238</v>
      </c>
      <c r="Z38" s="187">
        <f t="shared" si="4"/>
        <v>616318.57943925238</v>
      </c>
      <c r="AA38" s="187">
        <f t="shared" si="4"/>
        <v>651668.57943925238</v>
      </c>
      <c r="AB38" s="187">
        <f t="shared" si="4"/>
        <v>687018.57943925238</v>
      </c>
      <c r="AC38" s="187">
        <f t="shared" si="4"/>
        <v>722368.57943925238</v>
      </c>
      <c r="AD38" s="187">
        <f t="shared" si="4"/>
        <v>757718.57943925238</v>
      </c>
      <c r="AE38" s="187">
        <f t="shared" si="4"/>
        <v>793068.57943925238</v>
      </c>
    </row>
    <row r="39" spans="1:31" s="214" customFormat="1" ht="15" x14ac:dyDescent="0.2">
      <c r="A39" s="204" t="s">
        <v>96</v>
      </c>
      <c r="B39" s="195"/>
      <c r="C39" s="213"/>
      <c r="D39" s="205">
        <v>123301</v>
      </c>
      <c r="E39" s="207">
        <f>(D39*$B19)+$B15</f>
        <v>139132.07</v>
      </c>
      <c r="F39" s="208">
        <f>(E39*$B19)+$B15</f>
        <v>156071.31490000003</v>
      </c>
      <c r="G39" s="208">
        <f>(F39*$B19)+$B15+F35</f>
        <v>180480.30694300003</v>
      </c>
      <c r="H39" s="208">
        <f t="shared" ref="H39:S39" si="5">(G39*$B19)+$B15+G35</f>
        <v>212263.92842901003</v>
      </c>
      <c r="I39" s="208">
        <f t="shared" si="5"/>
        <v>246272.40341904075</v>
      </c>
      <c r="J39" s="208">
        <f t="shared" si="5"/>
        <v>282661.4716583736</v>
      </c>
      <c r="K39" s="208">
        <f t="shared" si="5"/>
        <v>321597.77467445977</v>
      </c>
      <c r="L39" s="208">
        <f t="shared" si="5"/>
        <v>363259.61890167196</v>
      </c>
      <c r="M39" s="208">
        <f t="shared" si="5"/>
        <v>407837.79222478904</v>
      </c>
      <c r="N39" s="208">
        <f t="shared" si="5"/>
        <v>455536.43768052431</v>
      </c>
      <c r="O39" s="208">
        <f t="shared" si="5"/>
        <v>506573.98831816105</v>
      </c>
      <c r="P39" s="208">
        <f t="shared" si="5"/>
        <v>561184.16750043235</v>
      </c>
      <c r="Q39" s="208">
        <f t="shared" si="5"/>
        <v>619617.05922546261</v>
      </c>
      <c r="R39" s="208">
        <f t="shared" si="5"/>
        <v>682140.25337124499</v>
      </c>
      <c r="S39" s="208">
        <f t="shared" si="5"/>
        <v>749040.07110723224</v>
      </c>
      <c r="T39" s="208">
        <f>(S39*$B19)+$B15+S35+S36</f>
        <v>832772.87608473853</v>
      </c>
      <c r="U39" s="208">
        <f t="shared" ref="U39:AE39" si="6">(T39*$B19)+$B15+T35+T36</f>
        <v>926416.97741067025</v>
      </c>
      <c r="V39" s="208">
        <f t="shared" si="6"/>
        <v>1026616.1658294172</v>
      </c>
      <c r="W39" s="208">
        <f t="shared" si="6"/>
        <v>1133829.2974374765</v>
      </c>
      <c r="X39" s="208">
        <f t="shared" si="6"/>
        <v>1248547.3482581</v>
      </c>
      <c r="Y39" s="208">
        <f t="shared" si="6"/>
        <v>1371295.6626361671</v>
      </c>
      <c r="Z39" s="208">
        <f t="shared" si="6"/>
        <v>1502636.3590206988</v>
      </c>
      <c r="AA39" s="208">
        <f t="shared" si="6"/>
        <v>1643170.9041521479</v>
      </c>
      <c r="AB39" s="208">
        <f t="shared" si="6"/>
        <v>1793542.8674427983</v>
      </c>
      <c r="AC39" s="208">
        <f t="shared" si="6"/>
        <v>1954440.8681637943</v>
      </c>
      <c r="AD39" s="208">
        <f t="shared" si="6"/>
        <v>2126601.7289352603</v>
      </c>
      <c r="AE39" s="208">
        <f t="shared" si="6"/>
        <v>2310813.8499607285</v>
      </c>
    </row>
    <row r="40" spans="1:31" x14ac:dyDescent="0.2">
      <c r="A40" s="120" t="s">
        <v>257</v>
      </c>
      <c r="B40" s="178"/>
      <c r="C40" s="179"/>
      <c r="D40" s="178"/>
      <c r="E40" s="186">
        <f t="shared" ref="E40:AE40" si="7">E39-D39</f>
        <v>15831.070000000007</v>
      </c>
      <c r="F40" s="187">
        <f t="shared" si="7"/>
        <v>16939.24490000002</v>
      </c>
      <c r="G40" s="187">
        <f t="shared" si="7"/>
        <v>24408.992043000006</v>
      </c>
      <c r="H40" s="187">
        <f t="shared" si="7"/>
        <v>31783.621486010001</v>
      </c>
      <c r="I40" s="187">
        <f t="shared" si="7"/>
        <v>34008.474990030722</v>
      </c>
      <c r="J40" s="187">
        <f t="shared" si="7"/>
        <v>36389.068239332846</v>
      </c>
      <c r="K40" s="187">
        <f t="shared" si="7"/>
        <v>38936.303016086167</v>
      </c>
      <c r="L40" s="187">
        <f t="shared" si="7"/>
        <v>41661.84422721219</v>
      </c>
      <c r="M40" s="187">
        <f t="shared" si="7"/>
        <v>44578.17332311708</v>
      </c>
      <c r="N40" s="187">
        <f t="shared" si="7"/>
        <v>47698.64545573527</v>
      </c>
      <c r="O40" s="187">
        <f t="shared" si="7"/>
        <v>51037.550637636741</v>
      </c>
      <c r="P40" s="187">
        <f t="shared" si="7"/>
        <v>54610.179182271298</v>
      </c>
      <c r="Q40" s="187">
        <f t="shared" si="7"/>
        <v>58432.891725030262</v>
      </c>
      <c r="R40" s="187">
        <f t="shared" si="7"/>
        <v>62523.194145782385</v>
      </c>
      <c r="S40" s="187">
        <f t="shared" si="7"/>
        <v>66899.81773598725</v>
      </c>
      <c r="T40" s="187">
        <f t="shared" si="7"/>
        <v>83732.804977506283</v>
      </c>
      <c r="U40" s="187">
        <f t="shared" si="7"/>
        <v>93644.101325931726</v>
      </c>
      <c r="V40" s="187">
        <f t="shared" si="7"/>
        <v>100199.18841874693</v>
      </c>
      <c r="W40" s="187">
        <f t="shared" si="7"/>
        <v>107213.13160805928</v>
      </c>
      <c r="X40" s="187">
        <f t="shared" si="7"/>
        <v>114718.05082062352</v>
      </c>
      <c r="Y40" s="187">
        <f t="shared" si="7"/>
        <v>122748.31437806715</v>
      </c>
      <c r="Z40" s="187">
        <f t="shared" si="7"/>
        <v>131340.69638453168</v>
      </c>
      <c r="AA40" s="187">
        <f t="shared" si="7"/>
        <v>140534.54513144912</v>
      </c>
      <c r="AB40" s="187">
        <f t="shared" si="7"/>
        <v>150371.9632906504</v>
      </c>
      <c r="AC40" s="187">
        <f t="shared" si="7"/>
        <v>160898.00072099594</v>
      </c>
      <c r="AD40" s="187">
        <f t="shared" si="7"/>
        <v>172160.86077146605</v>
      </c>
      <c r="AE40" s="187">
        <f t="shared" si="7"/>
        <v>184212.12102546822</v>
      </c>
    </row>
    <row r="41" spans="1:31" x14ac:dyDescent="0.2">
      <c r="A41" s="120"/>
      <c r="B41" s="178"/>
      <c r="C41" s="179"/>
      <c r="D41" s="179"/>
      <c r="E41" s="126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</row>
    <row r="42" spans="1:31" s="209" customFormat="1" ht="15" x14ac:dyDescent="0.2">
      <c r="A42" s="204" t="s">
        <v>280</v>
      </c>
      <c r="B42" s="205"/>
      <c r="C42" s="206"/>
      <c r="D42" s="210">
        <v>62200</v>
      </c>
      <c r="E42" s="211">
        <f>SUM(TilgungsRechner!E13:E19,TilgungsRechner!G15)+D42+10000</f>
        <v>85433.829822743966</v>
      </c>
      <c r="F42" s="212">
        <f>SUM(TilgungsRechner!E20:E32,TilgungsRechner!G27,TilgungsRechner!G28)+E42</f>
        <v>102307.57442825094</v>
      </c>
      <c r="G42" s="212">
        <f>SUM(TilgungsRechner!E33:E45,TilgungsRechner!G41)+'(SOLL) Prognosekurve (mit AVD)'!F42</f>
        <v>119777.98241764397</v>
      </c>
      <c r="H42" s="212">
        <f>SUM(TilgungsRechner!E46:E58,TilgungsRechner!G54)+G42</f>
        <v>137866.15208309199</v>
      </c>
      <c r="I42" s="212">
        <f>SUM(TilgungsRechner!E59:E71,TilgungsRechner!G67)+H42</f>
        <v>156593.92776209608</v>
      </c>
      <c r="J42" s="212">
        <f>SUM(TilgungsRechner!E72:E84,TilgungsRechner!G80)+I42</f>
        <v>175983.92621799622</v>
      </c>
      <c r="K42" s="212">
        <f>SUM(TilgungsRechner!E85:E97,TilgungsRechner!G93)+J42</f>
        <v>196059.5639533049</v>
      </c>
      <c r="L42" s="212">
        <f>SUM(TilgungsRechner!E98:E110,TilgungsRechner!G106)+K42</f>
        <v>216845.08548885261</v>
      </c>
      <c r="M42" s="212">
        <f>SUM(TilgungsRechner!E111:E123,TilgungsRechner!G119)+L42</f>
        <v>238365.59264289719</v>
      </c>
      <c r="N42" s="212">
        <f>SUM(TilgungsRechner!E124:E136,TilgungsRechner!G132)+M42</f>
        <v>260647.07484555582</v>
      </c>
      <c r="O42" s="212">
        <f>SUM(TilgungsRechner!E137:E149,TilgungsRechner!G145)+N42</f>
        <v>283716.44052516931</v>
      </c>
      <c r="P42" s="212">
        <f>SUM(TilgungsRechner!E150:E162,TilgungsRechner!G157,TilgungsRechner!G158)+O42</f>
        <v>307601.54960450286</v>
      </c>
      <c r="Q42" s="212">
        <f>SUM(TilgungsRechner!E163:E175,TilgungsRechner!G171)+P42</f>
        <v>332331.24714602705</v>
      </c>
      <c r="R42" s="212">
        <f>SUM(TilgungsRechner!E176:E188,TilgungsRechner!G184)+Q42</f>
        <v>357935.39818691195</v>
      </c>
      <c r="S42" s="212">
        <f>SUM(TilgungsRechner!E189:E190)+R42</f>
        <v>360628.16235109477</v>
      </c>
      <c r="T42" s="212">
        <v>360000</v>
      </c>
      <c r="U42" s="212">
        <f>SUM(TilgungsRechner!G189:G190)+T42</f>
        <v>360000</v>
      </c>
      <c r="V42" s="212">
        <f>SUM(TilgungsRechner!H189:H190)+U42</f>
        <v>360000</v>
      </c>
      <c r="W42" s="212">
        <v>360000</v>
      </c>
      <c r="X42" s="212">
        <v>360000</v>
      </c>
      <c r="Y42" s="212">
        <v>360000</v>
      </c>
      <c r="Z42" s="212">
        <v>360000</v>
      </c>
      <c r="AA42" s="212">
        <v>360000</v>
      </c>
      <c r="AB42" s="212">
        <v>360000</v>
      </c>
      <c r="AC42" s="212">
        <v>360000</v>
      </c>
      <c r="AD42" s="212">
        <v>360000</v>
      </c>
      <c r="AE42" s="212">
        <v>360000</v>
      </c>
    </row>
    <row r="43" spans="1:31" x14ac:dyDescent="0.2">
      <c r="A43" s="117" t="s">
        <v>281</v>
      </c>
      <c r="B43" s="178"/>
      <c r="C43" s="179"/>
      <c r="D43" s="188">
        <f>D42/360000</f>
        <v>0.17277777777777778</v>
      </c>
      <c r="E43" s="189">
        <f t="shared" ref="E43:AE43" si="8">E42/360000</f>
        <v>0.23731619395206657</v>
      </c>
      <c r="F43" s="190">
        <f t="shared" si="8"/>
        <v>0.28418770674514149</v>
      </c>
      <c r="G43" s="190">
        <f t="shared" si="8"/>
        <v>0.3327166178267888</v>
      </c>
      <c r="H43" s="190">
        <f t="shared" si="8"/>
        <v>0.38296153356414442</v>
      </c>
      <c r="I43" s="190">
        <f t="shared" si="8"/>
        <v>0.43498313267248911</v>
      </c>
      <c r="J43" s="190">
        <f t="shared" si="8"/>
        <v>0.48884423949443395</v>
      </c>
      <c r="K43" s="190">
        <f t="shared" si="8"/>
        <v>0.5446098998702914</v>
      </c>
      <c r="L43" s="190">
        <f t="shared" si="8"/>
        <v>0.60234745969125725</v>
      </c>
      <c r="M43" s="190">
        <f t="shared" si="8"/>
        <v>0.66212664623026996</v>
      </c>
      <c r="N43" s="190">
        <f t="shared" si="8"/>
        <v>0.7240196523487662</v>
      </c>
      <c r="O43" s="190">
        <f t="shared" si="8"/>
        <v>0.78810122368102586</v>
      </c>
      <c r="P43" s="190">
        <f t="shared" si="8"/>
        <v>0.85444874890139677</v>
      </c>
      <c r="Q43" s="190">
        <f t="shared" si="8"/>
        <v>0.92314235318340843</v>
      </c>
      <c r="R43" s="190">
        <f t="shared" si="8"/>
        <v>0.99426499496364429</v>
      </c>
      <c r="S43" s="190">
        <f t="shared" si="8"/>
        <v>1.0017448954197077</v>
      </c>
      <c r="T43" s="189">
        <f t="shared" si="8"/>
        <v>1</v>
      </c>
      <c r="U43" s="189">
        <f t="shared" si="8"/>
        <v>1</v>
      </c>
      <c r="V43" s="189">
        <f t="shared" si="8"/>
        <v>1</v>
      </c>
      <c r="W43" s="189">
        <f t="shared" si="8"/>
        <v>1</v>
      </c>
      <c r="X43" s="189">
        <f t="shared" si="8"/>
        <v>1</v>
      </c>
      <c r="Y43" s="189">
        <f t="shared" si="8"/>
        <v>1</v>
      </c>
      <c r="Z43" s="189">
        <f t="shared" si="8"/>
        <v>1</v>
      </c>
      <c r="AA43" s="189">
        <f t="shared" si="8"/>
        <v>1</v>
      </c>
      <c r="AB43" s="189">
        <f t="shared" si="8"/>
        <v>1</v>
      </c>
      <c r="AC43" s="189">
        <f t="shared" si="8"/>
        <v>1</v>
      </c>
      <c r="AD43" s="189">
        <f t="shared" si="8"/>
        <v>1</v>
      </c>
      <c r="AE43" s="189">
        <f t="shared" si="8"/>
        <v>1</v>
      </c>
    </row>
    <row r="44" spans="1:31" x14ac:dyDescent="0.2">
      <c r="A44" s="120"/>
      <c r="B44" s="178"/>
      <c r="C44" s="179"/>
      <c r="D44" s="179"/>
      <c r="E44" s="126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</row>
    <row r="45" spans="1:31" x14ac:dyDescent="0.2">
      <c r="A45" s="120" t="s">
        <v>95</v>
      </c>
      <c r="B45" s="178">
        <v>360000</v>
      </c>
      <c r="C45" s="179">
        <v>1.02</v>
      </c>
      <c r="D45" s="178">
        <v>360000</v>
      </c>
      <c r="E45" s="186">
        <f>D45*$C45</f>
        <v>367200</v>
      </c>
      <c r="F45" s="187">
        <f>E45*$C45</f>
        <v>374544</v>
      </c>
      <c r="G45" s="187">
        <f t="shared" ref="G45:AE45" si="9">F45*$C45</f>
        <v>382034.88</v>
      </c>
      <c r="H45" s="187">
        <f t="shared" si="9"/>
        <v>389675.57760000002</v>
      </c>
      <c r="I45" s="187">
        <f t="shared" si="9"/>
        <v>397469.08915200003</v>
      </c>
      <c r="J45" s="187">
        <f t="shared" si="9"/>
        <v>405418.47093504004</v>
      </c>
      <c r="K45" s="187">
        <f t="shared" si="9"/>
        <v>413526.84035374084</v>
      </c>
      <c r="L45" s="187">
        <f t="shared" si="9"/>
        <v>421797.3771608157</v>
      </c>
      <c r="M45" s="187">
        <f t="shared" si="9"/>
        <v>430233.32470403204</v>
      </c>
      <c r="N45" s="187">
        <f t="shared" si="9"/>
        <v>438837.99119811266</v>
      </c>
      <c r="O45" s="187">
        <f t="shared" si="9"/>
        <v>447614.75102207495</v>
      </c>
      <c r="P45" s="187">
        <f t="shared" si="9"/>
        <v>456567.04604251648</v>
      </c>
      <c r="Q45" s="187">
        <f t="shared" si="9"/>
        <v>465698.38696336682</v>
      </c>
      <c r="R45" s="187">
        <f t="shared" si="9"/>
        <v>475012.35470263415</v>
      </c>
      <c r="S45" s="187">
        <f t="shared" si="9"/>
        <v>484512.60179668682</v>
      </c>
      <c r="T45" s="187">
        <f t="shared" si="9"/>
        <v>494202.85383262055</v>
      </c>
      <c r="U45" s="187">
        <f t="shared" si="9"/>
        <v>504086.91090927296</v>
      </c>
      <c r="V45" s="187">
        <f t="shared" si="9"/>
        <v>514168.64912745846</v>
      </c>
      <c r="W45" s="187">
        <f t="shared" si="9"/>
        <v>524452.02211000759</v>
      </c>
      <c r="X45" s="187">
        <f t="shared" si="9"/>
        <v>534941.06255220773</v>
      </c>
      <c r="Y45" s="187">
        <f t="shared" si="9"/>
        <v>545639.8838032519</v>
      </c>
      <c r="Z45" s="187">
        <f t="shared" si="9"/>
        <v>556552.6814793169</v>
      </c>
      <c r="AA45" s="187">
        <f t="shared" si="9"/>
        <v>567683.73510890326</v>
      </c>
      <c r="AB45" s="187">
        <f t="shared" si="9"/>
        <v>579037.40981108136</v>
      </c>
      <c r="AC45" s="187">
        <f t="shared" si="9"/>
        <v>590618.15800730302</v>
      </c>
      <c r="AD45" s="187">
        <f t="shared" si="9"/>
        <v>602430.52116744907</v>
      </c>
      <c r="AE45" s="187">
        <f t="shared" si="9"/>
        <v>614479.13159079803</v>
      </c>
    </row>
    <row r="46" spans="1:31" x14ac:dyDescent="0.2">
      <c r="A46" s="120" t="s">
        <v>284</v>
      </c>
      <c r="B46" s="178"/>
      <c r="C46" s="179"/>
      <c r="D46" s="178"/>
      <c r="E46" s="186">
        <f t="shared" ref="E46:AE46" si="10">E45-D45</f>
        <v>7200</v>
      </c>
      <c r="F46" s="187">
        <f t="shared" si="10"/>
        <v>7344</v>
      </c>
      <c r="G46" s="187">
        <f t="shared" si="10"/>
        <v>7490.8800000000047</v>
      </c>
      <c r="H46" s="187">
        <f t="shared" si="10"/>
        <v>7640.6976000000141</v>
      </c>
      <c r="I46" s="187">
        <f t="shared" si="10"/>
        <v>7793.5115520000109</v>
      </c>
      <c r="J46" s="187">
        <f t="shared" si="10"/>
        <v>7949.3817830400076</v>
      </c>
      <c r="K46" s="187">
        <f t="shared" si="10"/>
        <v>8108.3694187008077</v>
      </c>
      <c r="L46" s="187">
        <f t="shared" si="10"/>
        <v>8270.5368070748518</v>
      </c>
      <c r="M46" s="187">
        <f t="shared" si="10"/>
        <v>8435.9475432163454</v>
      </c>
      <c r="N46" s="187">
        <f t="shared" si="10"/>
        <v>8604.6664940806222</v>
      </c>
      <c r="O46" s="187">
        <f t="shared" si="10"/>
        <v>8776.7598239622894</v>
      </c>
      <c r="P46" s="187">
        <f t="shared" si="10"/>
        <v>8952.2950204415247</v>
      </c>
      <c r="Q46" s="187">
        <f t="shared" si="10"/>
        <v>9131.3409208503435</v>
      </c>
      <c r="R46" s="187">
        <f t="shared" si="10"/>
        <v>9313.9677392673329</v>
      </c>
      <c r="S46" s="187">
        <f t="shared" si="10"/>
        <v>9500.2470940526691</v>
      </c>
      <c r="T46" s="187">
        <f t="shared" si="10"/>
        <v>9690.2520359337213</v>
      </c>
      <c r="U46" s="187">
        <f t="shared" si="10"/>
        <v>9884.0570766524179</v>
      </c>
      <c r="V46" s="187">
        <f t="shared" si="10"/>
        <v>10081.738218185492</v>
      </c>
      <c r="W46" s="187">
        <f t="shared" si="10"/>
        <v>10283.372982549132</v>
      </c>
      <c r="X46" s="187">
        <f t="shared" si="10"/>
        <v>10489.040442200145</v>
      </c>
      <c r="Y46" s="187">
        <f t="shared" si="10"/>
        <v>10698.821251044166</v>
      </c>
      <c r="Z46" s="187">
        <f t="shared" si="10"/>
        <v>10912.797676065005</v>
      </c>
      <c r="AA46" s="187">
        <f t="shared" si="10"/>
        <v>11131.053629586357</v>
      </c>
      <c r="AB46" s="187">
        <f t="shared" si="10"/>
        <v>11353.674702178105</v>
      </c>
      <c r="AC46" s="187">
        <f t="shared" si="10"/>
        <v>11580.748196221655</v>
      </c>
      <c r="AD46" s="187">
        <f t="shared" si="10"/>
        <v>11812.363160146051</v>
      </c>
      <c r="AE46" s="187">
        <f t="shared" si="10"/>
        <v>12048.61042334896</v>
      </c>
    </row>
    <row r="47" spans="1:31" x14ac:dyDescent="0.2">
      <c r="A47" s="120"/>
      <c r="B47" s="178"/>
      <c r="C47" s="179"/>
      <c r="D47" s="178"/>
      <c r="E47" s="186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</row>
    <row r="48" spans="1:31" x14ac:dyDescent="0.2">
      <c r="A48" s="120" t="s">
        <v>300</v>
      </c>
      <c r="B48" s="178"/>
      <c r="C48" s="179"/>
      <c r="D48" s="178">
        <v>85000</v>
      </c>
      <c r="E48" s="186">
        <f>91500+(200*7)+1000</f>
        <v>93900</v>
      </c>
      <c r="F48" s="187">
        <f>E48+(200*12)+800</f>
        <v>97100</v>
      </c>
      <c r="G48" s="187">
        <f t="shared" ref="G48:AE48" si="11">F48+(200*12)+800</f>
        <v>100300</v>
      </c>
      <c r="H48" s="187">
        <f t="shared" si="11"/>
        <v>103500</v>
      </c>
      <c r="I48" s="187">
        <f t="shared" si="11"/>
        <v>106700</v>
      </c>
      <c r="J48" s="187">
        <f t="shared" si="11"/>
        <v>109900</v>
      </c>
      <c r="K48" s="187">
        <f t="shared" si="11"/>
        <v>113100</v>
      </c>
      <c r="L48" s="187">
        <f t="shared" si="11"/>
        <v>116300</v>
      </c>
      <c r="M48" s="187">
        <f t="shared" si="11"/>
        <v>119500</v>
      </c>
      <c r="N48" s="187">
        <f t="shared" si="11"/>
        <v>122700</v>
      </c>
      <c r="O48" s="187">
        <f t="shared" si="11"/>
        <v>125900</v>
      </c>
      <c r="P48" s="187">
        <f t="shared" si="11"/>
        <v>129100</v>
      </c>
      <c r="Q48" s="187">
        <f t="shared" si="11"/>
        <v>132300</v>
      </c>
      <c r="R48" s="187">
        <f t="shared" si="11"/>
        <v>135500</v>
      </c>
      <c r="S48" s="187">
        <f t="shared" si="11"/>
        <v>138700</v>
      </c>
      <c r="T48" s="187">
        <f t="shared" si="11"/>
        <v>141900</v>
      </c>
      <c r="U48" s="187">
        <f t="shared" si="11"/>
        <v>145100</v>
      </c>
      <c r="V48" s="187">
        <f t="shared" si="11"/>
        <v>148300</v>
      </c>
      <c r="W48" s="187">
        <f t="shared" si="11"/>
        <v>151500</v>
      </c>
      <c r="X48" s="187">
        <f t="shared" si="11"/>
        <v>154700</v>
      </c>
      <c r="Y48" s="187">
        <f t="shared" si="11"/>
        <v>157900</v>
      </c>
      <c r="Z48" s="187">
        <f t="shared" si="11"/>
        <v>161100</v>
      </c>
      <c r="AA48" s="187">
        <f t="shared" si="11"/>
        <v>164300</v>
      </c>
      <c r="AB48" s="187">
        <f t="shared" si="11"/>
        <v>167500</v>
      </c>
      <c r="AC48" s="187">
        <f t="shared" si="11"/>
        <v>170700</v>
      </c>
      <c r="AD48" s="187">
        <f t="shared" si="11"/>
        <v>173900</v>
      </c>
      <c r="AE48" s="187">
        <f t="shared" si="11"/>
        <v>177100</v>
      </c>
    </row>
    <row r="49" spans="1:31" s="209" customFormat="1" ht="15" x14ac:dyDescent="0.2">
      <c r="A49" s="204" t="s">
        <v>301</v>
      </c>
      <c r="B49" s="205"/>
      <c r="C49" s="206"/>
      <c r="D49" s="205">
        <v>90000</v>
      </c>
      <c r="E49" s="207">
        <f>E48*$B$20</f>
        <v>98595</v>
      </c>
      <c r="F49" s="208">
        <f t="shared" ref="F49:AE49" si="12">E49*$B$20+(12*200)+1000</f>
        <v>106924.75</v>
      </c>
      <c r="G49" s="208">
        <f t="shared" si="12"/>
        <v>115670.9875</v>
      </c>
      <c r="H49" s="208">
        <f t="shared" si="12"/>
        <v>124854.53687500001</v>
      </c>
      <c r="I49" s="208">
        <f t="shared" si="12"/>
        <v>134497.26371875001</v>
      </c>
      <c r="J49" s="208">
        <f t="shared" si="12"/>
        <v>144622.12690468752</v>
      </c>
      <c r="K49" s="208">
        <f t="shared" si="12"/>
        <v>155253.2332499219</v>
      </c>
      <c r="L49" s="208">
        <f t="shared" si="12"/>
        <v>166415.89491241801</v>
      </c>
      <c r="M49" s="208">
        <f t="shared" si="12"/>
        <v>178136.68965803893</v>
      </c>
      <c r="N49" s="208">
        <f t="shared" si="12"/>
        <v>190443.52414094089</v>
      </c>
      <c r="O49" s="208">
        <f t="shared" si="12"/>
        <v>203365.70034798793</v>
      </c>
      <c r="P49" s="208">
        <f t="shared" si="12"/>
        <v>216933.98536538734</v>
      </c>
      <c r="Q49" s="208">
        <f t="shared" si="12"/>
        <v>231180.68463365673</v>
      </c>
      <c r="R49" s="208">
        <f t="shared" si="12"/>
        <v>246139.71886533959</v>
      </c>
      <c r="S49" s="208">
        <f t="shared" si="12"/>
        <v>261846.70480860656</v>
      </c>
      <c r="T49" s="208">
        <f t="shared" si="12"/>
        <v>278339.04004903691</v>
      </c>
      <c r="U49" s="208">
        <f t="shared" si="12"/>
        <v>295655.99205148878</v>
      </c>
      <c r="V49" s="208">
        <f t="shared" si="12"/>
        <v>313838.79165406321</v>
      </c>
      <c r="W49" s="208">
        <f t="shared" si="12"/>
        <v>332930.73123676638</v>
      </c>
      <c r="X49" s="208">
        <f t="shared" si="12"/>
        <v>352977.26779860473</v>
      </c>
      <c r="Y49" s="208">
        <f t="shared" si="12"/>
        <v>374026.13118853502</v>
      </c>
      <c r="Z49" s="208">
        <f t="shared" si="12"/>
        <v>396127.43774796178</v>
      </c>
      <c r="AA49" s="208">
        <f t="shared" si="12"/>
        <v>419333.80963535991</v>
      </c>
      <c r="AB49" s="208">
        <f t="shared" si="12"/>
        <v>443700.5001171279</v>
      </c>
      <c r="AC49" s="208">
        <f t="shared" si="12"/>
        <v>469285.52512298431</v>
      </c>
      <c r="AD49" s="208">
        <f t="shared" si="12"/>
        <v>496149.80137913354</v>
      </c>
      <c r="AE49" s="208">
        <f t="shared" si="12"/>
        <v>524357.29144809023</v>
      </c>
    </row>
    <row r="50" spans="1:31" s="209" customFormat="1" ht="15" x14ac:dyDescent="0.2">
      <c r="A50" s="204"/>
      <c r="B50" s="205"/>
      <c r="C50" s="206"/>
      <c r="D50" s="205"/>
      <c r="E50" s="207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</row>
    <row r="51" spans="1:31" s="209" customFormat="1" ht="15" x14ac:dyDescent="0.2">
      <c r="A51" s="120" t="s">
        <v>323</v>
      </c>
      <c r="B51" s="205"/>
      <c r="C51" s="206"/>
      <c r="D51" s="205"/>
      <c r="E51" s="207"/>
      <c r="F51" s="208">
        <f>300*12+1680</f>
        <v>5280</v>
      </c>
      <c r="G51" s="208">
        <f>F51+(300*12+1680)</f>
        <v>10560</v>
      </c>
      <c r="H51" s="208">
        <f t="shared" ref="H51:AE51" si="13">G51+(300*12+1680)</f>
        <v>15840</v>
      </c>
      <c r="I51" s="208">
        <f t="shared" si="13"/>
        <v>21120</v>
      </c>
      <c r="J51" s="208">
        <f t="shared" si="13"/>
        <v>26400</v>
      </c>
      <c r="K51" s="208">
        <f t="shared" si="13"/>
        <v>31680</v>
      </c>
      <c r="L51" s="208">
        <f t="shared" si="13"/>
        <v>36960</v>
      </c>
      <c r="M51" s="208">
        <f t="shared" si="13"/>
        <v>42240</v>
      </c>
      <c r="N51" s="208">
        <f t="shared" si="13"/>
        <v>47520</v>
      </c>
      <c r="O51" s="208">
        <f t="shared" si="13"/>
        <v>52800</v>
      </c>
      <c r="P51" s="208">
        <f t="shared" si="13"/>
        <v>58080</v>
      </c>
      <c r="Q51" s="208">
        <f t="shared" si="13"/>
        <v>63360</v>
      </c>
      <c r="R51" s="208">
        <f t="shared" si="13"/>
        <v>68640</v>
      </c>
      <c r="S51" s="208">
        <f t="shared" si="13"/>
        <v>73920</v>
      </c>
      <c r="T51" s="208">
        <f t="shared" si="13"/>
        <v>79200</v>
      </c>
      <c r="U51" s="208">
        <f t="shared" si="13"/>
        <v>84480</v>
      </c>
      <c r="V51" s="208">
        <f t="shared" si="13"/>
        <v>89760</v>
      </c>
      <c r="W51" s="208">
        <f t="shared" si="13"/>
        <v>95040</v>
      </c>
      <c r="X51" s="208">
        <f t="shared" si="13"/>
        <v>100320</v>
      </c>
      <c r="Y51" s="208">
        <f t="shared" si="13"/>
        <v>105600</v>
      </c>
      <c r="Z51" s="208">
        <f t="shared" si="13"/>
        <v>110880</v>
      </c>
      <c r="AA51" s="208">
        <f t="shared" si="13"/>
        <v>116160</v>
      </c>
      <c r="AB51" s="208">
        <f t="shared" si="13"/>
        <v>121440</v>
      </c>
      <c r="AC51" s="208">
        <f t="shared" si="13"/>
        <v>126720</v>
      </c>
      <c r="AD51" s="208">
        <f t="shared" si="13"/>
        <v>132000</v>
      </c>
      <c r="AE51" s="208">
        <f t="shared" si="13"/>
        <v>137280</v>
      </c>
    </row>
    <row r="52" spans="1:31" s="209" customFormat="1" ht="15" x14ac:dyDescent="0.2">
      <c r="A52" s="204" t="s">
        <v>324</v>
      </c>
      <c r="B52" s="205"/>
      <c r="C52" s="206"/>
      <c r="D52" s="205"/>
      <c r="E52" s="207"/>
      <c r="F52" s="208">
        <f>F51*$B$19</f>
        <v>5649.6</v>
      </c>
      <c r="G52" s="208">
        <f>F52*$B$19+(300*12+1680)</f>
        <v>11325.072</v>
      </c>
      <c r="H52" s="208">
        <f>G52*$B$19+(300*12+1680)</f>
        <v>17397.82704</v>
      </c>
      <c r="I52" s="208">
        <f>H52*$B$19+(300*12+1680)</f>
        <v>23895.674932800001</v>
      </c>
      <c r="J52" s="208">
        <f>I52*$B$19+(300*12+1680)</f>
        <v>30848.372178096</v>
      </c>
      <c r="K52" s="208">
        <f t="shared" ref="K52:AE52" si="14">J52*$B$19+(300*12+1680)</f>
        <v>38287.758230562722</v>
      </c>
      <c r="L52" s="208">
        <f t="shared" si="14"/>
        <v>46247.901306702115</v>
      </c>
      <c r="M52" s="208">
        <f t="shared" si="14"/>
        <v>54765.254398171266</v>
      </c>
      <c r="N52" s="208">
        <f t="shared" si="14"/>
        <v>63878.82220604326</v>
      </c>
      <c r="O52" s="208">
        <f t="shared" si="14"/>
        <v>73630.33976046629</v>
      </c>
      <c r="P52" s="208">
        <f t="shared" si="14"/>
        <v>84064.463543698934</v>
      </c>
      <c r="Q52" s="208">
        <f t="shared" si="14"/>
        <v>95228.975991757863</v>
      </c>
      <c r="R52" s="208">
        <f t="shared" si="14"/>
        <v>107175.00431118092</v>
      </c>
      <c r="S52" s="208">
        <f t="shared" si="14"/>
        <v>119957.25461296359</v>
      </c>
      <c r="T52" s="208">
        <f t="shared" si="14"/>
        <v>133634.26243587106</v>
      </c>
      <c r="U52" s="208">
        <f t="shared" si="14"/>
        <v>148268.66080638205</v>
      </c>
      <c r="V52" s="208">
        <f t="shared" si="14"/>
        <v>163927.4670628288</v>
      </c>
      <c r="W52" s="208">
        <f t="shared" si="14"/>
        <v>180682.38975722683</v>
      </c>
      <c r="X52" s="208">
        <f t="shared" si="14"/>
        <v>198610.15704023273</v>
      </c>
      <c r="Y52" s="208">
        <f t="shared" si="14"/>
        <v>217792.86803304905</v>
      </c>
      <c r="Z52" s="208">
        <f t="shared" si="14"/>
        <v>238318.3687953625</v>
      </c>
      <c r="AA52" s="208">
        <f t="shared" si="14"/>
        <v>260280.6546110379</v>
      </c>
      <c r="AB52" s="208">
        <f t="shared" si="14"/>
        <v>283780.30043381057</v>
      </c>
      <c r="AC52" s="208">
        <f t="shared" si="14"/>
        <v>308924.92146417731</v>
      </c>
      <c r="AD52" s="208">
        <f t="shared" si="14"/>
        <v>335829.66596666974</v>
      </c>
      <c r="AE52" s="208">
        <f t="shared" si="14"/>
        <v>364617.74258433667</v>
      </c>
    </row>
    <row r="53" spans="1:31" x14ac:dyDescent="0.2">
      <c r="A53" s="120"/>
      <c r="B53" s="178"/>
      <c r="C53" s="179"/>
      <c r="D53" s="179"/>
      <c r="E53" s="126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</row>
    <row r="54" spans="1:31" ht="18" x14ac:dyDescent="0.25">
      <c r="A54" s="200" t="s">
        <v>303</v>
      </c>
      <c r="B54" s="201"/>
      <c r="C54" s="202"/>
      <c r="D54" s="203">
        <f>D34+D39+D42</f>
        <v>215501</v>
      </c>
      <c r="E54" s="203">
        <f>E34+E39+E42</f>
        <v>272499.89982274396</v>
      </c>
      <c r="F54" s="203">
        <f>F34+F39+F42</f>
        <v>318262.88932825095</v>
      </c>
      <c r="G54" s="203">
        <f t="shared" ref="G54:AE54" si="15">G34+G39+G42</f>
        <v>365808.289360644</v>
      </c>
      <c r="H54" s="203">
        <f t="shared" si="15"/>
        <v>415680.08051210199</v>
      </c>
      <c r="I54" s="203">
        <f t="shared" si="15"/>
        <v>468416.33118113677</v>
      </c>
      <c r="J54" s="203">
        <f t="shared" si="15"/>
        <v>524195.39787636983</v>
      </c>
      <c r="K54" s="203">
        <f t="shared" si="15"/>
        <v>583207.33862776472</v>
      </c>
      <c r="L54" s="203">
        <f t="shared" si="15"/>
        <v>645654.70439052454</v>
      </c>
      <c r="M54" s="203">
        <f t="shared" si="15"/>
        <v>711753.3848676862</v>
      </c>
      <c r="N54" s="203">
        <f t="shared" si="15"/>
        <v>781733.51252608013</v>
      </c>
      <c r="O54" s="203">
        <f t="shared" si="15"/>
        <v>855840.42884333036</v>
      </c>
      <c r="P54" s="203">
        <f t="shared" si="15"/>
        <v>934335.7171049352</v>
      </c>
      <c r="Q54" s="203">
        <f t="shared" si="15"/>
        <v>1017498.3063714897</v>
      </c>
      <c r="R54" s="203">
        <f t="shared" si="15"/>
        <v>1105625.6515581571</v>
      </c>
      <c r="S54" s="203">
        <f t="shared" si="15"/>
        <v>1175218.2334583271</v>
      </c>
      <c r="T54" s="203">
        <f t="shared" si="15"/>
        <v>1258322.8760847384</v>
      </c>
      <c r="U54" s="203">
        <f t="shared" si="15"/>
        <v>1351966.9774106704</v>
      </c>
      <c r="V54" s="203">
        <f t="shared" si="15"/>
        <v>1452166.1658294173</v>
      </c>
      <c r="W54" s="203">
        <f t="shared" si="15"/>
        <v>1559379.2974374765</v>
      </c>
      <c r="X54" s="203">
        <f t="shared" si="15"/>
        <v>1674097.3482581</v>
      </c>
      <c r="Y54" s="203">
        <f t="shared" si="15"/>
        <v>1796845.6626361671</v>
      </c>
      <c r="Z54" s="203">
        <f t="shared" si="15"/>
        <v>1928186.3590206988</v>
      </c>
      <c r="AA54" s="203">
        <f t="shared" si="15"/>
        <v>2068720.9041521479</v>
      </c>
      <c r="AB54" s="203">
        <f t="shared" si="15"/>
        <v>2219092.8674427983</v>
      </c>
      <c r="AC54" s="203">
        <f t="shared" si="15"/>
        <v>2379990.8681637943</v>
      </c>
      <c r="AD54" s="203">
        <f t="shared" si="15"/>
        <v>2552151.7289352603</v>
      </c>
      <c r="AE54" s="203">
        <f t="shared" si="15"/>
        <v>2736363.8499607285</v>
      </c>
    </row>
    <row r="55" spans="1:31" ht="18" x14ac:dyDescent="0.25">
      <c r="A55" s="191" t="s">
        <v>307</v>
      </c>
      <c r="B55" s="178"/>
      <c r="C55" s="179"/>
      <c r="D55" s="192"/>
      <c r="E55" s="193">
        <f>E34+E39+E42+E46</f>
        <v>279699.89982274396</v>
      </c>
      <c r="F55" s="194">
        <f>F34+F39+F42+F46</f>
        <v>325606.88932825095</v>
      </c>
      <c r="G55" s="194">
        <f t="shared" ref="G55:AE55" si="16">G34+G39+G42+G46</f>
        <v>373299.16936064401</v>
      </c>
      <c r="H55" s="194">
        <f t="shared" si="16"/>
        <v>423320.77811210201</v>
      </c>
      <c r="I55" s="194">
        <f t="shared" si="16"/>
        <v>476209.84273313679</v>
      </c>
      <c r="J55" s="194">
        <f t="shared" si="16"/>
        <v>532144.77965940977</v>
      </c>
      <c r="K55" s="194">
        <f t="shared" si="16"/>
        <v>591315.70804646553</v>
      </c>
      <c r="L55" s="194">
        <f t="shared" si="16"/>
        <v>653925.24119759933</v>
      </c>
      <c r="M55" s="194">
        <f t="shared" si="16"/>
        <v>720189.33241090248</v>
      </c>
      <c r="N55" s="194">
        <f t="shared" si="16"/>
        <v>790338.17902016081</v>
      </c>
      <c r="O55" s="194">
        <f t="shared" si="16"/>
        <v>864617.18866729271</v>
      </c>
      <c r="P55" s="194">
        <f t="shared" si="16"/>
        <v>943288.01212537673</v>
      </c>
      <c r="Q55" s="194">
        <f t="shared" si="16"/>
        <v>1026629.6472923399</v>
      </c>
      <c r="R55" s="194">
        <f t="shared" si="16"/>
        <v>1114939.6192974243</v>
      </c>
      <c r="S55" s="194">
        <f t="shared" si="16"/>
        <v>1184718.4805523797</v>
      </c>
      <c r="T55" s="194">
        <f t="shared" si="16"/>
        <v>1268013.1281206722</v>
      </c>
      <c r="U55" s="194">
        <f t="shared" si="16"/>
        <v>1361851.0344873229</v>
      </c>
      <c r="V55" s="194">
        <f t="shared" si="16"/>
        <v>1462247.9040476028</v>
      </c>
      <c r="W55" s="194">
        <f t="shared" si="16"/>
        <v>1569662.6704200255</v>
      </c>
      <c r="X55" s="194">
        <f t="shared" si="16"/>
        <v>1684586.3887003001</v>
      </c>
      <c r="Y55" s="194">
        <f t="shared" si="16"/>
        <v>1807544.4838872114</v>
      </c>
      <c r="Z55" s="194">
        <f t="shared" si="16"/>
        <v>1939099.1566967638</v>
      </c>
      <c r="AA55" s="194">
        <f t="shared" si="16"/>
        <v>2079851.9577817344</v>
      </c>
      <c r="AB55" s="194">
        <f t="shared" si="16"/>
        <v>2230446.5421449766</v>
      </c>
      <c r="AC55" s="194">
        <f t="shared" si="16"/>
        <v>2391571.6163600162</v>
      </c>
      <c r="AD55" s="194">
        <f t="shared" si="16"/>
        <v>2563964.0920954063</v>
      </c>
      <c r="AE55" s="194">
        <f t="shared" si="16"/>
        <v>2748412.4603840774</v>
      </c>
    </row>
    <row r="56" spans="1:31" ht="18" x14ac:dyDescent="0.25">
      <c r="A56" s="200" t="s">
        <v>283</v>
      </c>
      <c r="B56" s="201"/>
      <c r="C56" s="202"/>
      <c r="D56" s="203">
        <f t="shared" ref="D56:AE56" si="17">D34+D39+D42+D49</f>
        <v>305501</v>
      </c>
      <c r="E56" s="203">
        <f t="shared" si="17"/>
        <v>371094.89982274396</v>
      </c>
      <c r="F56" s="203">
        <f t="shared" si="17"/>
        <v>425187.63932825095</v>
      </c>
      <c r="G56" s="203">
        <f t="shared" si="17"/>
        <v>481479.27686064399</v>
      </c>
      <c r="H56" s="203">
        <f t="shared" si="17"/>
        <v>540534.61738710199</v>
      </c>
      <c r="I56" s="203">
        <f t="shared" si="17"/>
        <v>602913.59489988675</v>
      </c>
      <c r="J56" s="203">
        <f t="shared" si="17"/>
        <v>668817.52478105738</v>
      </c>
      <c r="K56" s="203">
        <f t="shared" si="17"/>
        <v>738460.57187768666</v>
      </c>
      <c r="L56" s="203">
        <f t="shared" si="17"/>
        <v>812070.59930294252</v>
      </c>
      <c r="M56" s="203">
        <f t="shared" si="17"/>
        <v>889890.0745257251</v>
      </c>
      <c r="N56" s="203">
        <f t="shared" si="17"/>
        <v>972177.03666702099</v>
      </c>
      <c r="O56" s="203">
        <f t="shared" si="17"/>
        <v>1059206.1291913183</v>
      </c>
      <c r="P56" s="203">
        <f t="shared" si="17"/>
        <v>1151269.7024703226</v>
      </c>
      <c r="Q56" s="203">
        <f t="shared" si="17"/>
        <v>1248678.9910051464</v>
      </c>
      <c r="R56" s="203">
        <f t="shared" si="17"/>
        <v>1351765.3704234967</v>
      </c>
      <c r="S56" s="203">
        <f t="shared" si="17"/>
        <v>1437064.9382669337</v>
      </c>
      <c r="T56" s="203">
        <f t="shared" si="17"/>
        <v>1536661.9161337754</v>
      </c>
      <c r="U56" s="203">
        <f t="shared" si="17"/>
        <v>1647622.9694621591</v>
      </c>
      <c r="V56" s="203">
        <f t="shared" si="17"/>
        <v>1766004.9574834805</v>
      </c>
      <c r="W56" s="203">
        <f t="shared" si="17"/>
        <v>1892310.0286742428</v>
      </c>
      <c r="X56" s="203">
        <f t="shared" si="17"/>
        <v>2027074.6160567047</v>
      </c>
      <c r="Y56" s="203">
        <f t="shared" si="17"/>
        <v>2170871.793824702</v>
      </c>
      <c r="Z56" s="203">
        <f t="shared" si="17"/>
        <v>2324313.7967686607</v>
      </c>
      <c r="AA56" s="203">
        <f t="shared" si="17"/>
        <v>2488054.7137875077</v>
      </c>
      <c r="AB56" s="203">
        <f t="shared" si="17"/>
        <v>2662793.3675599261</v>
      </c>
      <c r="AC56" s="203">
        <f t="shared" si="17"/>
        <v>2849276.3932867786</v>
      </c>
      <c r="AD56" s="203">
        <f t="shared" si="17"/>
        <v>3048301.5303143938</v>
      </c>
      <c r="AE56" s="203">
        <f t="shared" si="17"/>
        <v>3260721.1414088188</v>
      </c>
    </row>
    <row r="57" spans="1:31" ht="18" x14ac:dyDescent="0.25">
      <c r="A57" s="200" t="s">
        <v>287</v>
      </c>
      <c r="B57" s="201"/>
      <c r="C57" s="202"/>
      <c r="D57" s="203"/>
      <c r="E57" s="203">
        <f>E56-D56</f>
        <v>65593.899822743959</v>
      </c>
      <c r="F57" s="203">
        <f>F56-E56</f>
        <v>54092.739505506994</v>
      </c>
      <c r="G57" s="203">
        <f t="shared" ref="G57:AE57" si="18">G56-F56</f>
        <v>56291.637532393041</v>
      </c>
      <c r="H57" s="203">
        <f t="shared" si="18"/>
        <v>59055.340526457992</v>
      </c>
      <c r="I57" s="203">
        <f t="shared" si="18"/>
        <v>62378.977512784768</v>
      </c>
      <c r="J57" s="203">
        <f t="shared" si="18"/>
        <v>65903.929881170625</v>
      </c>
      <c r="K57" s="203">
        <f t="shared" si="18"/>
        <v>69643.047096629278</v>
      </c>
      <c r="L57" s="203">
        <f t="shared" si="18"/>
        <v>73610.027425255859</v>
      </c>
      <c r="M57" s="203">
        <f t="shared" si="18"/>
        <v>77819.475222782581</v>
      </c>
      <c r="N57" s="203">
        <f t="shared" si="18"/>
        <v>82286.962141295895</v>
      </c>
      <c r="O57" s="203">
        <f t="shared" si="18"/>
        <v>87029.092524297303</v>
      </c>
      <c r="P57" s="203">
        <f t="shared" si="18"/>
        <v>92063.573279004311</v>
      </c>
      <c r="Q57" s="203">
        <f t="shared" si="18"/>
        <v>97409.288534823805</v>
      </c>
      <c r="R57" s="203">
        <f t="shared" si="18"/>
        <v>103086.37941835029</v>
      </c>
      <c r="S57" s="203">
        <f t="shared" si="18"/>
        <v>85299.567843436962</v>
      </c>
      <c r="T57" s="203">
        <f t="shared" si="18"/>
        <v>99596.977866841713</v>
      </c>
      <c r="U57" s="203">
        <f t="shared" si="18"/>
        <v>110961.05332838371</v>
      </c>
      <c r="V57" s="203">
        <f t="shared" si="18"/>
        <v>118381.98802132136</v>
      </c>
      <c r="W57" s="203">
        <f t="shared" si="18"/>
        <v>126305.07119076233</v>
      </c>
      <c r="X57" s="203">
        <f t="shared" si="18"/>
        <v>134764.58738246188</v>
      </c>
      <c r="Y57" s="203">
        <f t="shared" si="18"/>
        <v>143797.17776799737</v>
      </c>
      <c r="Z57" s="203">
        <f t="shared" si="18"/>
        <v>153442.00294395862</v>
      </c>
      <c r="AA57" s="203">
        <f t="shared" si="18"/>
        <v>163740.91701884707</v>
      </c>
      <c r="AB57" s="203">
        <f t="shared" si="18"/>
        <v>174738.65377241839</v>
      </c>
      <c r="AC57" s="203">
        <f t="shared" si="18"/>
        <v>186483.02572685247</v>
      </c>
      <c r="AD57" s="203">
        <f t="shared" si="18"/>
        <v>199025.13702761522</v>
      </c>
      <c r="AE57" s="203">
        <f t="shared" si="18"/>
        <v>212419.61109442497</v>
      </c>
    </row>
    <row r="58" spans="1:31" ht="18" x14ac:dyDescent="0.25">
      <c r="A58" s="200" t="s">
        <v>288</v>
      </c>
      <c r="B58" s="201"/>
      <c r="C58" s="202"/>
      <c r="D58" s="203"/>
      <c r="E58" s="215">
        <f>E57/D56</f>
        <v>0.21470928024047042</v>
      </c>
      <c r="F58" s="215">
        <f t="shared" ref="F58:AE58" si="19">F57/E56</f>
        <v>0.14576524638669183</v>
      </c>
      <c r="G58" s="215">
        <f t="shared" si="19"/>
        <v>0.13239246000031316</v>
      </c>
      <c r="H58" s="215">
        <f t="shared" si="19"/>
        <v>0.12265396116632982</v>
      </c>
      <c r="I58" s="215">
        <f t="shared" si="19"/>
        <v>0.1154023729586819</v>
      </c>
      <c r="J58" s="215">
        <f t="shared" si="19"/>
        <v>0.10930907917595374</v>
      </c>
      <c r="K58" s="215">
        <f t="shared" si="19"/>
        <v>0.10412862180820916</v>
      </c>
      <c r="L58" s="215">
        <f t="shared" si="19"/>
        <v>9.9680375944902991E-2</v>
      </c>
      <c r="M58" s="215">
        <f t="shared" si="19"/>
        <v>9.5828460345172603E-2</v>
      </c>
      <c r="N58" s="215">
        <f t="shared" si="19"/>
        <v>9.2468681803369326E-2</v>
      </c>
      <c r="O58" s="215">
        <f t="shared" si="19"/>
        <v>8.9519798598272707E-2</v>
      </c>
      <c r="P58" s="215">
        <f t="shared" si="19"/>
        <v>8.6917523173032363E-2</v>
      </c>
      <c r="Q58" s="215">
        <f t="shared" si="19"/>
        <v>8.4610311837277602E-2</v>
      </c>
      <c r="R58" s="215">
        <f t="shared" si="19"/>
        <v>8.2556349679086913E-2</v>
      </c>
      <c r="S58" s="215">
        <f t="shared" si="19"/>
        <v>6.3102347278443244E-2</v>
      </c>
      <c r="T58" s="215">
        <f t="shared" si="19"/>
        <v>6.9305829691282642E-2</v>
      </c>
      <c r="U58" s="215">
        <f t="shared" si="19"/>
        <v>7.2209151644468755E-2</v>
      </c>
      <c r="V58" s="215">
        <f t="shared" si="19"/>
        <v>7.1850168524881228E-2</v>
      </c>
      <c r="W58" s="215">
        <f t="shared" si="19"/>
        <v>7.1520224592542689E-2</v>
      </c>
      <c r="X58" s="215">
        <f t="shared" si="19"/>
        <v>7.1216970443727073E-2</v>
      </c>
      <c r="Y58" s="215">
        <f t="shared" si="19"/>
        <v>7.0938275596252071E-2</v>
      </c>
      <c r="Z58" s="215">
        <f t="shared" si="19"/>
        <v>7.0682203979268735E-2</v>
      </c>
      <c r="AA58" s="215">
        <f t="shared" si="19"/>
        <v>7.0446992676498857E-2</v>
      </c>
      <c r="AB58" s="215">
        <f t="shared" si="19"/>
        <v>7.0231033427081591E-2</v>
      </c>
      <c r="AC58" s="215">
        <f t="shared" si="19"/>
        <v>7.0032856472726543E-2</v>
      </c>
      <c r="AD58" s="215">
        <f t="shared" si="19"/>
        <v>6.9851116408552447E-2</v>
      </c>
      <c r="AE58" s="215">
        <f t="shared" si="19"/>
        <v>6.9684579751044695E-2</v>
      </c>
    </row>
    <row r="59" spans="1:31" ht="18" x14ac:dyDescent="0.25">
      <c r="A59" s="191" t="s">
        <v>325</v>
      </c>
      <c r="B59" s="178"/>
      <c r="C59" s="179"/>
      <c r="D59" s="192"/>
      <c r="E59" s="193">
        <f t="shared" ref="E59" si="20">E34+E39+E42+E46+E49</f>
        <v>378294.89982274396</v>
      </c>
      <c r="F59" s="199">
        <f>F34+F39+F42+F46+F49+F52</f>
        <v>438181.23932825093</v>
      </c>
      <c r="G59" s="199">
        <f>G34+G39+G42+G46+G49+G52</f>
        <v>500295.22886064398</v>
      </c>
      <c r="H59" s="199">
        <f>H34+H39+H42+H46+H49+H52</f>
        <v>565573.14202710206</v>
      </c>
      <c r="I59" s="199">
        <f>I34+I39+I42+I46+I49+I52</f>
        <v>634602.78138468682</v>
      </c>
      <c r="J59" s="199">
        <f>J34+J39+J42+J46+J49+J52</f>
        <v>707615.27874219324</v>
      </c>
      <c r="K59" s="199">
        <f t="shared" ref="K59:AE59" si="21">K34+K39+K42+K46+K49+K52</f>
        <v>784856.69952695013</v>
      </c>
      <c r="L59" s="199">
        <f t="shared" si="21"/>
        <v>866589.03741671937</v>
      </c>
      <c r="M59" s="199">
        <f t="shared" si="21"/>
        <v>953091.27646711259</v>
      </c>
      <c r="N59" s="199">
        <f t="shared" si="21"/>
        <v>1044660.525367145</v>
      </c>
      <c r="O59" s="199">
        <f t="shared" si="21"/>
        <v>1141613.2287757469</v>
      </c>
      <c r="P59" s="199">
        <f t="shared" si="21"/>
        <v>1244286.461034463</v>
      </c>
      <c r="Q59" s="199">
        <f t="shared" si="21"/>
        <v>1353039.3079177544</v>
      </c>
      <c r="R59" s="199">
        <f t="shared" si="21"/>
        <v>1468254.3424739449</v>
      </c>
      <c r="S59" s="199">
        <f t="shared" si="21"/>
        <v>1566522.4399739499</v>
      </c>
      <c r="T59" s="199">
        <f t="shared" si="21"/>
        <v>1679986.4306055801</v>
      </c>
      <c r="U59" s="199">
        <f t="shared" si="21"/>
        <v>1805775.6873451937</v>
      </c>
      <c r="V59" s="199">
        <f t="shared" si="21"/>
        <v>1940014.1627644948</v>
      </c>
      <c r="W59" s="199">
        <f t="shared" si="21"/>
        <v>2083275.7914140187</v>
      </c>
      <c r="X59" s="199">
        <f t="shared" si="21"/>
        <v>2236173.8135391376</v>
      </c>
      <c r="Y59" s="199">
        <f t="shared" si="21"/>
        <v>2399363.4831087957</v>
      </c>
      <c r="Z59" s="199">
        <f t="shared" si="21"/>
        <v>2573544.963240088</v>
      </c>
      <c r="AA59" s="199">
        <f t="shared" si="21"/>
        <v>2759466.4220281322</v>
      </c>
      <c r="AB59" s="199">
        <f t="shared" si="21"/>
        <v>2957927.3426959151</v>
      </c>
      <c r="AC59" s="199">
        <f t="shared" si="21"/>
        <v>3169782.0629471778</v>
      </c>
      <c r="AD59" s="199">
        <f t="shared" si="21"/>
        <v>3395943.5594412093</v>
      </c>
      <c r="AE59" s="199">
        <f t="shared" si="21"/>
        <v>3637387.4944165042</v>
      </c>
    </row>
    <row r="60" spans="1:31" ht="15" x14ac:dyDescent="0.2">
      <c r="A60" s="120" t="s">
        <v>282</v>
      </c>
      <c r="B60" s="178"/>
      <c r="C60" s="179"/>
      <c r="D60" s="195">
        <f>D56*(0.98)^(COLUMN()-COLUMN($D$60)+1)</f>
        <v>299390.98</v>
      </c>
      <c r="E60" s="196">
        <f t="shared" ref="E60:AE60" si="22">E56*(0.98)^(COLUMN()-COLUMN($D$60)+1)</f>
        <v>356399.54178976326</v>
      </c>
      <c r="F60" s="197">
        <f t="shared" si="22"/>
        <v>400183.20463463513</v>
      </c>
      <c r="G60" s="197">
        <f t="shared" si="22"/>
        <v>444101.15467608272</v>
      </c>
      <c r="H60" s="197">
        <f t="shared" si="22"/>
        <v>488600.48204653227</v>
      </c>
      <c r="I60" s="197">
        <f t="shared" si="22"/>
        <v>534086.41436138877</v>
      </c>
      <c r="J60" s="197">
        <f t="shared" si="22"/>
        <v>580617.57034530665</v>
      </c>
      <c r="K60" s="197">
        <f t="shared" si="22"/>
        <v>628254.94818813447</v>
      </c>
      <c r="L60" s="197">
        <f t="shared" si="22"/>
        <v>677062.04486051784</v>
      </c>
      <c r="M60" s="197">
        <f t="shared" si="22"/>
        <v>727104.98101410223</v>
      </c>
      <c r="N60" s="197">
        <f t="shared" si="22"/>
        <v>778452.63173831732</v>
      </c>
      <c r="O60" s="197">
        <f t="shared" si="22"/>
        <v>831176.7634588303</v>
      </c>
      <c r="P60" s="197">
        <f t="shared" si="22"/>
        <v>885352.17727649619</v>
      </c>
      <c r="Q60" s="197">
        <f t="shared" si="22"/>
        <v>941056.85906003974</v>
      </c>
      <c r="R60" s="197">
        <f t="shared" si="22"/>
        <v>998372.13662081352</v>
      </c>
      <c r="S60" s="197">
        <f t="shared" si="22"/>
        <v>1040144.3266610018</v>
      </c>
      <c r="T60" s="197">
        <f t="shared" si="22"/>
        <v>1089987.7443745446</v>
      </c>
      <c r="U60" s="197">
        <f t="shared" si="22"/>
        <v>1145320.9380047244</v>
      </c>
      <c r="V60" s="197">
        <f t="shared" si="22"/>
        <v>1203060.1916071302</v>
      </c>
      <c r="W60" s="197">
        <f t="shared" si="22"/>
        <v>1263321.2601750353</v>
      </c>
      <c r="X60" s="197">
        <f t="shared" si="22"/>
        <v>1326225.3495614156</v>
      </c>
      <c r="Y60" s="197">
        <f t="shared" si="22"/>
        <v>1391899.3791331123</v>
      </c>
      <c r="Z60" s="197">
        <f t="shared" si="22"/>
        <v>1460476.2570682638</v>
      </c>
      <c r="AA60" s="197">
        <f t="shared" si="22"/>
        <v>1532095.1689090694</v>
      </c>
      <c r="AB60" s="197">
        <f t="shared" si="22"/>
        <v>1606901.8800115883</v>
      </c>
      <c r="AC60" s="197">
        <f t="shared" si="22"/>
        <v>1685049.0525653905</v>
      </c>
      <c r="AD60" s="197">
        <f t="shared" si="22"/>
        <v>1766696.5778884513</v>
      </c>
      <c r="AE60" s="197">
        <f t="shared" si="22"/>
        <v>1852011.9247368926</v>
      </c>
    </row>
    <row r="61" spans="1:31" ht="15" x14ac:dyDescent="0.2">
      <c r="A61" s="120" t="s">
        <v>285</v>
      </c>
      <c r="B61" s="178"/>
      <c r="C61" s="179"/>
      <c r="D61" s="198"/>
      <c r="E61" s="186">
        <f t="shared" ref="E61:AE61" si="23">(E56-E60)-(D56-D60)</f>
        <v>8585.3380329806823</v>
      </c>
      <c r="F61" s="187">
        <f t="shared" si="23"/>
        <v>10309.076660635124</v>
      </c>
      <c r="G61" s="187">
        <f t="shared" si="23"/>
        <v>12373.687490945449</v>
      </c>
      <c r="H61" s="187">
        <f t="shared" si="23"/>
        <v>14556.013156008441</v>
      </c>
      <c r="I61" s="187">
        <f t="shared" si="23"/>
        <v>16893.045197928266</v>
      </c>
      <c r="J61" s="187">
        <f t="shared" si="23"/>
        <v>19372.773897252744</v>
      </c>
      <c r="K61" s="187">
        <f t="shared" si="23"/>
        <v>22005.669253801461</v>
      </c>
      <c r="L61" s="187">
        <f t="shared" si="23"/>
        <v>24802.930752872489</v>
      </c>
      <c r="M61" s="187">
        <f t="shared" si="23"/>
        <v>27776.539069198188</v>
      </c>
      <c r="N61" s="187">
        <f t="shared" si="23"/>
        <v>30939.311417080811</v>
      </c>
      <c r="O61" s="187">
        <f t="shared" si="23"/>
        <v>34304.960803784314</v>
      </c>
      <c r="P61" s="187">
        <f t="shared" si="23"/>
        <v>37888.159461338422</v>
      </c>
      <c r="Q61" s="187">
        <f t="shared" si="23"/>
        <v>41704.606751280255</v>
      </c>
      <c r="R61" s="187">
        <f t="shared" si="23"/>
        <v>45771.101857576519</v>
      </c>
      <c r="S61" s="187">
        <f t="shared" si="23"/>
        <v>43527.377803248703</v>
      </c>
      <c r="T61" s="187">
        <f t="shared" si="23"/>
        <v>49753.560153298895</v>
      </c>
      <c r="U61" s="187">
        <f t="shared" si="23"/>
        <v>55627.859698203858</v>
      </c>
      <c r="V61" s="187">
        <f t="shared" si="23"/>
        <v>60642.734418915585</v>
      </c>
      <c r="W61" s="187">
        <f t="shared" si="23"/>
        <v>66044.002622857224</v>
      </c>
      <c r="X61" s="187">
        <f t="shared" si="23"/>
        <v>71860.497996081598</v>
      </c>
      <c r="Y61" s="187">
        <f t="shared" si="23"/>
        <v>78123.148196300725</v>
      </c>
      <c r="Z61" s="187">
        <f t="shared" si="23"/>
        <v>84865.125008807052</v>
      </c>
      <c r="AA61" s="187">
        <f t="shared" si="23"/>
        <v>92122.005178041523</v>
      </c>
      <c r="AB61" s="187">
        <f t="shared" si="23"/>
        <v>99931.942669899436</v>
      </c>
      <c r="AC61" s="187">
        <f t="shared" si="23"/>
        <v>108335.85317305033</v>
      </c>
      <c r="AD61" s="187">
        <f t="shared" si="23"/>
        <v>117377.61170455441</v>
      </c>
      <c r="AE61" s="187">
        <f t="shared" si="23"/>
        <v>127104.26424598368</v>
      </c>
    </row>
    <row r="62" spans="1:31" x14ac:dyDescent="0.2"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31" x14ac:dyDescent="0.2">
      <c r="C63" t="s">
        <v>99</v>
      </c>
      <c r="D63" s="7">
        <f>S45-B45</f>
        <v>124512.60179668682</v>
      </c>
      <c r="E63" s="63">
        <f>(D63/B45)</f>
        <v>0.34586833832413005</v>
      </c>
    </row>
    <row r="64" spans="1:31" x14ac:dyDescent="0.2">
      <c r="C64" t="s">
        <v>100</v>
      </c>
      <c r="D64" s="7">
        <f>S39-B38</f>
        <v>644440.07110723224</v>
      </c>
      <c r="E64" s="63">
        <f>D64/S39</f>
        <v>0.86035460046165468</v>
      </c>
      <c r="R64" t="s">
        <v>97</v>
      </c>
      <c r="S64" s="7">
        <f>SUM(S45,S39-P68,S34)</f>
        <v>1205072.299986924</v>
      </c>
    </row>
    <row r="67" spans="4:16" x14ac:dyDescent="0.2">
      <c r="N67" s="3" t="s">
        <v>114</v>
      </c>
      <c r="O67" s="3" t="s">
        <v>115</v>
      </c>
      <c r="P67" s="3" t="s">
        <v>116</v>
      </c>
    </row>
    <row r="68" spans="4:16" x14ac:dyDescent="0.2">
      <c r="D68" t="s">
        <v>105</v>
      </c>
      <c r="E68" t="s">
        <v>117</v>
      </c>
      <c r="N68" s="66">
        <f>S39-S38</f>
        <v>376121.49166797992</v>
      </c>
      <c r="O68" s="66">
        <f>N68*0.75</f>
        <v>282091.11875098496</v>
      </c>
      <c r="P68" s="66">
        <f>N68-O68</f>
        <v>94030.372916994966</v>
      </c>
    </row>
    <row r="69" spans="4:16" x14ac:dyDescent="0.2">
      <c r="D69" s="7">
        <v>650</v>
      </c>
      <c r="E69" s="7">
        <f>D69*12*15</f>
        <v>117000</v>
      </c>
    </row>
    <row r="70" spans="4:16" x14ac:dyDescent="0.2">
      <c r="D70" t="s">
        <v>118</v>
      </c>
      <c r="E70" s="7">
        <v>21500</v>
      </c>
    </row>
    <row r="71" spans="4:16" x14ac:dyDescent="0.2">
      <c r="D71" t="s">
        <v>61</v>
      </c>
      <c r="E71" s="7">
        <v>85000</v>
      </c>
    </row>
    <row r="72" spans="4:16" x14ac:dyDescent="0.2">
      <c r="D72" t="s">
        <v>41</v>
      </c>
      <c r="E72" s="7">
        <f>E69-E70-E71</f>
        <v>10500</v>
      </c>
    </row>
    <row r="75" spans="4:16" x14ac:dyDescent="0.2">
      <c r="D75" t="s">
        <v>105</v>
      </c>
      <c r="E75" t="s">
        <v>117</v>
      </c>
    </row>
    <row r="76" spans="4:16" x14ac:dyDescent="0.2">
      <c r="D76" s="7">
        <v>850</v>
      </c>
      <c r="E76" s="7">
        <f>D76*12*15</f>
        <v>153000</v>
      </c>
    </row>
    <row r="77" spans="4:16" x14ac:dyDescent="0.2">
      <c r="D77" t="s">
        <v>118</v>
      </c>
      <c r="E77" s="7">
        <v>21500</v>
      </c>
    </row>
    <row r="78" spans="4:16" x14ac:dyDescent="0.2">
      <c r="D78" t="s">
        <v>61</v>
      </c>
      <c r="E78" s="7">
        <v>85000</v>
      </c>
    </row>
    <row r="79" spans="4:16" x14ac:dyDescent="0.2">
      <c r="D79" t="s">
        <v>41</v>
      </c>
      <c r="E79" s="7">
        <f>E76-E77-E78</f>
        <v>46500</v>
      </c>
    </row>
    <row r="85" spans="5:5" x14ac:dyDescent="0.2">
      <c r="E85" s="7"/>
    </row>
    <row r="86" spans="5:5" x14ac:dyDescent="0.2">
      <c r="E86" s="7"/>
    </row>
  </sheetData>
  <mergeCells count="3">
    <mergeCell ref="M15:N15"/>
    <mergeCell ref="M16:N16"/>
    <mergeCell ref="I18:J18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1F12-D1D2-435E-9ACB-D66782313DE0}">
  <dimension ref="A1:W241"/>
  <sheetViews>
    <sheetView zoomScaleNormal="100" workbookViewId="0">
      <pane ySplit="1" topLeftCell="A2" activePane="bottomLeft" state="frozen"/>
      <selection pane="bottomLeft" activeCell="D13" sqref="D13"/>
    </sheetView>
  </sheetViews>
  <sheetFormatPr baseColWidth="10" defaultRowHeight="14.25" x14ac:dyDescent="0.2"/>
  <cols>
    <col min="1" max="1" width="9.875" bestFit="1" customWidth="1"/>
    <col min="2" max="2" width="16.875" bestFit="1" customWidth="1"/>
    <col min="3" max="3" width="12.5" style="90" bestFit="1" customWidth="1"/>
    <col min="4" max="4" width="11.5" bestFit="1" customWidth="1"/>
    <col min="5" max="5" width="12.25" bestFit="1" customWidth="1"/>
    <col min="6" max="6" width="12.25" style="90" bestFit="1" customWidth="1"/>
    <col min="7" max="7" width="14.125" customWidth="1"/>
    <col min="8" max="8" width="12.375" customWidth="1"/>
    <col min="9" max="9" width="14.125" style="90" customWidth="1"/>
    <col min="10" max="10" width="12.25" style="90" bestFit="1" customWidth="1"/>
    <col min="11" max="11" width="15" style="90" customWidth="1"/>
    <col min="12" max="12" width="16.75" style="90" bestFit="1" customWidth="1"/>
    <col min="13" max="13" width="14" style="90" customWidth="1"/>
    <col min="14" max="14" width="11.375" style="90" bestFit="1" customWidth="1"/>
    <col min="15" max="15" width="12.25" style="90" bestFit="1" customWidth="1"/>
    <col min="16" max="16" width="15.25" customWidth="1"/>
    <col min="17" max="17" width="11.5" customWidth="1"/>
    <col min="18" max="18" width="13.75" customWidth="1"/>
    <col min="19" max="19" width="12.875" bestFit="1" customWidth="1"/>
    <col min="20" max="20" width="7.5" bestFit="1" customWidth="1"/>
    <col min="21" max="21" width="9.25" bestFit="1" customWidth="1"/>
    <col min="22" max="22" width="10" bestFit="1" customWidth="1"/>
    <col min="23" max="23" width="13.25" bestFit="1" customWidth="1"/>
  </cols>
  <sheetData>
    <row r="1" spans="1:23" s="129" customFormat="1" ht="29.25" customHeight="1" x14ac:dyDescent="0.2">
      <c r="A1" s="128" t="s">
        <v>212</v>
      </c>
      <c r="B1" s="128" t="s">
        <v>183</v>
      </c>
      <c r="C1" s="114" t="s">
        <v>179</v>
      </c>
      <c r="D1" s="128" t="s">
        <v>180</v>
      </c>
      <c r="E1" s="128" t="s">
        <v>181</v>
      </c>
      <c r="F1" s="114" t="s">
        <v>102</v>
      </c>
      <c r="G1" s="128" t="s">
        <v>184</v>
      </c>
      <c r="H1" s="128" t="s">
        <v>192</v>
      </c>
      <c r="I1" s="114" t="s">
        <v>62</v>
      </c>
      <c r="J1" s="114" t="s">
        <v>201</v>
      </c>
      <c r="K1" s="114" t="s">
        <v>191</v>
      </c>
      <c r="L1" s="114" t="s">
        <v>185</v>
      </c>
      <c r="M1" s="114" t="s">
        <v>186</v>
      </c>
      <c r="N1" s="114" t="s">
        <v>187</v>
      </c>
      <c r="O1" s="114" t="s">
        <v>188</v>
      </c>
      <c r="P1" s="114" t="s">
        <v>207</v>
      </c>
      <c r="Q1" s="114" t="s">
        <v>190</v>
      </c>
      <c r="R1" s="114" t="s">
        <v>198</v>
      </c>
      <c r="S1" s="114" t="s">
        <v>202</v>
      </c>
      <c r="T1" s="128" t="s">
        <v>182</v>
      </c>
      <c r="U1" s="128" t="s">
        <v>189</v>
      </c>
      <c r="V1" s="114" t="s">
        <v>51</v>
      </c>
      <c r="W1" s="114" t="s">
        <v>197</v>
      </c>
    </row>
    <row r="2" spans="1:23" x14ac:dyDescent="0.2">
      <c r="A2" s="117"/>
      <c r="B2" s="117"/>
      <c r="C2" s="118"/>
      <c r="D2" s="117"/>
      <c r="E2" s="117"/>
      <c r="F2" s="118"/>
      <c r="G2" s="117"/>
      <c r="H2" s="117"/>
      <c r="I2" s="118"/>
      <c r="J2" s="118"/>
      <c r="K2" s="118"/>
      <c r="L2" s="119"/>
      <c r="M2" s="119"/>
      <c r="N2" s="118"/>
      <c r="O2" s="118"/>
      <c r="P2" s="120"/>
      <c r="Q2" s="120"/>
      <c r="R2" s="120"/>
      <c r="S2" s="120"/>
      <c r="T2" s="86">
        <v>3.4799999999999998E-2</v>
      </c>
      <c r="U2" s="86">
        <v>0.4</v>
      </c>
      <c r="V2" s="90">
        <v>92000</v>
      </c>
      <c r="W2" s="115">
        <v>1.7999999999999999E-2</v>
      </c>
    </row>
    <row r="3" spans="1:23" x14ac:dyDescent="0.2">
      <c r="A3" s="131"/>
      <c r="B3" s="132">
        <v>45901</v>
      </c>
      <c r="C3" s="130"/>
      <c r="D3" s="131"/>
      <c r="E3" s="131"/>
      <c r="F3" s="130"/>
      <c r="G3" s="130">
        <f>V2-H3</f>
        <v>74338.8</v>
      </c>
      <c r="H3" s="130">
        <v>17661.2</v>
      </c>
      <c r="I3" s="130"/>
      <c r="J3" s="131"/>
      <c r="K3" s="131"/>
      <c r="L3" s="130"/>
      <c r="M3" s="130"/>
      <c r="N3" s="130">
        <f>-H3</f>
        <v>-17661.2</v>
      </c>
      <c r="O3" s="130"/>
      <c r="P3" s="131"/>
      <c r="Q3" s="131"/>
      <c r="R3" s="131"/>
      <c r="S3" s="131"/>
      <c r="U3" s="86"/>
    </row>
    <row r="4" spans="1:23" x14ac:dyDescent="0.2">
      <c r="A4" s="131"/>
      <c r="B4" s="132">
        <v>45931</v>
      </c>
      <c r="C4" s="130"/>
      <c r="D4" s="130">
        <v>548.58000000000004</v>
      </c>
      <c r="E4" s="130">
        <v>0</v>
      </c>
      <c r="F4" s="130">
        <v>548.58000000000004</v>
      </c>
      <c r="G4" s="131"/>
      <c r="H4" s="131"/>
      <c r="I4" s="130"/>
      <c r="J4" s="130"/>
      <c r="K4" s="130"/>
      <c r="L4" s="130"/>
      <c r="M4" s="130"/>
      <c r="N4" s="130">
        <v>-548.58000000000004</v>
      </c>
      <c r="O4" s="130"/>
      <c r="P4" s="131"/>
      <c r="Q4" s="131"/>
      <c r="R4" s="131"/>
      <c r="S4" s="131"/>
      <c r="U4" s="86"/>
    </row>
    <row r="5" spans="1:23" x14ac:dyDescent="0.2">
      <c r="A5" s="131"/>
      <c r="B5" s="132">
        <v>45962</v>
      </c>
      <c r="C5" s="130"/>
      <c r="D5" s="130">
        <v>623.5</v>
      </c>
      <c r="E5" s="130">
        <v>0</v>
      </c>
      <c r="F5" s="130">
        <v>623.5</v>
      </c>
      <c r="G5" s="131"/>
      <c r="H5" s="131"/>
      <c r="I5" s="130"/>
      <c r="J5" s="130"/>
      <c r="K5" s="130"/>
      <c r="L5" s="130"/>
      <c r="M5" s="130"/>
      <c r="N5" s="130">
        <v>-623.5</v>
      </c>
      <c r="O5" s="130"/>
      <c r="P5" s="131"/>
      <c r="Q5" s="131"/>
      <c r="R5" s="131"/>
      <c r="S5" s="131"/>
      <c r="U5" s="86"/>
    </row>
    <row r="6" spans="1:23" s="3" customFormat="1" x14ac:dyDescent="0.2">
      <c r="A6" s="144"/>
      <c r="B6" s="145">
        <v>45992</v>
      </c>
      <c r="C6" s="146"/>
      <c r="D6" s="146">
        <v>623.5</v>
      </c>
      <c r="E6" s="146">
        <v>0</v>
      </c>
      <c r="F6" s="146">
        <v>623.5</v>
      </c>
      <c r="G6" s="144"/>
      <c r="H6" s="144"/>
      <c r="I6" s="146"/>
      <c r="J6" s="146">
        <f>V2-H3</f>
        <v>74338.8</v>
      </c>
      <c r="K6" s="118">
        <f>0-SUM(D3:D6)</f>
        <v>-1795.58</v>
      </c>
      <c r="L6" s="146"/>
      <c r="M6" s="130">
        <v>533</v>
      </c>
      <c r="N6" s="118">
        <v>-623.5</v>
      </c>
      <c r="O6" s="146">
        <f>SUM(N3:N6)+M6</f>
        <v>-18923.780000000002</v>
      </c>
      <c r="P6" s="118">
        <f>K6+M6-H3</f>
        <v>-18923.78</v>
      </c>
      <c r="Q6" s="147">
        <f>P6/J6</f>
        <v>-0.25456127890146191</v>
      </c>
      <c r="R6" s="144"/>
      <c r="S6" s="146">
        <f>P6</f>
        <v>-18923.78</v>
      </c>
      <c r="U6" s="112"/>
    </row>
    <row r="7" spans="1:23" x14ac:dyDescent="0.2">
      <c r="A7" s="131"/>
      <c r="B7" s="132">
        <v>46023</v>
      </c>
      <c r="C7" s="130"/>
      <c r="D7" s="130">
        <v>623.5</v>
      </c>
      <c r="E7" s="130">
        <v>0</v>
      </c>
      <c r="F7" s="130">
        <v>623.5</v>
      </c>
      <c r="G7" s="131"/>
      <c r="H7" s="130">
        <v>4000</v>
      </c>
      <c r="I7" s="130"/>
      <c r="J7" s="130"/>
      <c r="K7" s="130"/>
      <c r="L7" s="130"/>
      <c r="M7" s="130"/>
      <c r="N7" s="119">
        <v>-4623.5</v>
      </c>
      <c r="O7" s="130"/>
      <c r="P7" s="131"/>
      <c r="Q7" s="131"/>
      <c r="R7" s="131"/>
      <c r="S7" s="131"/>
      <c r="U7" s="86"/>
    </row>
    <row r="8" spans="1:23" x14ac:dyDescent="0.2">
      <c r="A8" s="131"/>
      <c r="B8" s="132">
        <v>46054</v>
      </c>
      <c r="C8" s="130"/>
      <c r="D8" s="130">
        <v>623.5</v>
      </c>
      <c r="E8" s="130">
        <v>0</v>
      </c>
      <c r="F8" s="130">
        <v>623.5</v>
      </c>
      <c r="G8" s="131"/>
      <c r="H8" s="131"/>
      <c r="I8" s="130"/>
      <c r="J8" s="130"/>
      <c r="K8" s="130"/>
      <c r="L8" s="130"/>
      <c r="M8" s="130"/>
      <c r="N8" s="119">
        <f>H8-D8</f>
        <v>-623.5</v>
      </c>
      <c r="O8" s="130"/>
      <c r="P8" s="131"/>
      <c r="Q8" s="131"/>
      <c r="R8" s="131"/>
      <c r="S8" s="131"/>
      <c r="U8" s="86"/>
    </row>
    <row r="9" spans="1:23" x14ac:dyDescent="0.2">
      <c r="A9" s="131"/>
      <c r="B9" s="132">
        <v>46082</v>
      </c>
      <c r="C9" s="130"/>
      <c r="D9" s="130">
        <v>623.5</v>
      </c>
      <c r="E9" s="130">
        <v>0</v>
      </c>
      <c r="F9" s="130">
        <v>623.5</v>
      </c>
      <c r="G9" s="131"/>
      <c r="H9" s="131"/>
      <c r="I9" s="130"/>
      <c r="J9" s="130"/>
      <c r="K9" s="130"/>
      <c r="L9" s="130"/>
      <c r="M9" s="130"/>
      <c r="N9" s="119">
        <f t="shared" ref="N9:N14" si="0">I9-D9</f>
        <v>-623.5</v>
      </c>
      <c r="O9" s="130"/>
      <c r="P9" s="131"/>
      <c r="Q9" s="131"/>
      <c r="R9" s="131"/>
      <c r="S9" s="131"/>
      <c r="U9" s="86"/>
    </row>
    <row r="10" spans="1:23" x14ac:dyDescent="0.2">
      <c r="A10" s="131"/>
      <c r="B10" s="132">
        <v>46113</v>
      </c>
      <c r="C10" s="130"/>
      <c r="D10" s="125">
        <v>623.5</v>
      </c>
      <c r="E10" s="130">
        <f>F10-D10</f>
        <v>0</v>
      </c>
      <c r="F10" s="130">
        <v>623.5</v>
      </c>
      <c r="G10" s="131"/>
      <c r="H10" s="131"/>
      <c r="I10" s="130"/>
      <c r="J10" s="130"/>
      <c r="K10" s="130"/>
      <c r="L10" s="130"/>
      <c r="M10" s="130"/>
      <c r="N10" s="119">
        <f t="shared" si="0"/>
        <v>-623.5</v>
      </c>
      <c r="O10" s="130"/>
      <c r="P10" s="131"/>
      <c r="Q10" s="131"/>
      <c r="R10" s="131"/>
      <c r="S10" s="131"/>
    </row>
    <row r="11" spans="1:23" x14ac:dyDescent="0.2">
      <c r="A11" s="120"/>
      <c r="B11" s="123">
        <v>46143</v>
      </c>
      <c r="C11" s="119"/>
      <c r="D11" s="125">
        <v>623.5</v>
      </c>
      <c r="E11" s="119">
        <f>F11-D11</f>
        <v>0</v>
      </c>
      <c r="F11" s="119">
        <v>623.5</v>
      </c>
      <c r="G11" s="120"/>
      <c r="H11" s="120"/>
      <c r="I11" s="119"/>
      <c r="J11" s="119"/>
      <c r="K11" s="119"/>
      <c r="L11" s="119"/>
      <c r="M11" s="119"/>
      <c r="N11" s="119">
        <f t="shared" si="0"/>
        <v>-623.5</v>
      </c>
      <c r="O11" s="119"/>
      <c r="P11" s="120"/>
      <c r="Q11" s="120"/>
      <c r="R11" s="120"/>
      <c r="S11" s="120"/>
    </row>
    <row r="12" spans="1:23" x14ac:dyDescent="0.2">
      <c r="A12" s="120"/>
      <c r="B12" s="123">
        <v>46174</v>
      </c>
      <c r="C12" s="119"/>
      <c r="D12" s="125">
        <v>630.75</v>
      </c>
      <c r="E12" s="119">
        <v>0</v>
      </c>
      <c r="F12" s="119">
        <v>630.75</v>
      </c>
      <c r="G12" s="120"/>
      <c r="H12" s="119">
        <v>3000</v>
      </c>
      <c r="I12" s="119"/>
      <c r="J12" s="119"/>
      <c r="K12" s="119"/>
      <c r="L12" s="119"/>
      <c r="M12" s="119"/>
      <c r="N12" s="119">
        <f>I12-D12-H12</f>
        <v>-3630.75</v>
      </c>
      <c r="O12" s="119"/>
      <c r="P12" s="120"/>
      <c r="Q12" s="120"/>
      <c r="R12" s="120"/>
      <c r="S12" s="120"/>
    </row>
    <row r="13" spans="1:23" x14ac:dyDescent="0.2">
      <c r="A13" s="120"/>
      <c r="B13" s="123">
        <v>46204</v>
      </c>
      <c r="C13" s="119">
        <v>288000</v>
      </c>
      <c r="D13" s="119">
        <f>(C13*T$2)/12</f>
        <v>835.19999999999993</v>
      </c>
      <c r="E13" s="119">
        <f t="shared" ref="E13:E79" si="1">F13-D13</f>
        <v>515.80000000000007</v>
      </c>
      <c r="F13" s="119">
        <v>1351</v>
      </c>
      <c r="G13" s="120"/>
      <c r="H13" s="120"/>
      <c r="I13" s="119">
        <v>650</v>
      </c>
      <c r="J13" s="119"/>
      <c r="K13" s="119"/>
      <c r="L13" s="119"/>
      <c r="M13" s="119"/>
      <c r="N13" s="119">
        <f t="shared" si="0"/>
        <v>-185.19999999999993</v>
      </c>
      <c r="O13" s="119"/>
      <c r="P13" s="120"/>
      <c r="Q13" s="120"/>
      <c r="R13" s="120"/>
      <c r="S13" s="120"/>
    </row>
    <row r="14" spans="1:23" x14ac:dyDescent="0.2">
      <c r="A14" s="120"/>
      <c r="B14" s="123">
        <v>46235</v>
      </c>
      <c r="C14" s="119">
        <f t="shared" ref="C14:C19" si="2">C13-E13</f>
        <v>287484.2</v>
      </c>
      <c r="D14" s="119">
        <f>(C14*T$2)/12</f>
        <v>833.70418000000006</v>
      </c>
      <c r="E14" s="119">
        <f t="shared" si="1"/>
        <v>517.29581999999994</v>
      </c>
      <c r="F14" s="119">
        <v>1351</v>
      </c>
      <c r="G14" s="120"/>
      <c r="H14" s="120"/>
      <c r="I14" s="119">
        <v>650</v>
      </c>
      <c r="J14" s="119"/>
      <c r="K14" s="119"/>
      <c r="L14" s="119"/>
      <c r="M14" s="119"/>
      <c r="N14" s="119">
        <f t="shared" si="0"/>
        <v>-183.70418000000006</v>
      </c>
      <c r="O14" s="119"/>
      <c r="P14" s="120"/>
      <c r="Q14" s="120"/>
      <c r="R14" s="120"/>
      <c r="S14" s="120"/>
    </row>
    <row r="15" spans="1:23" x14ac:dyDescent="0.2">
      <c r="A15" s="120"/>
      <c r="B15" s="123">
        <v>46265</v>
      </c>
      <c r="C15" s="119">
        <f t="shared" si="2"/>
        <v>286966.90418000001</v>
      </c>
      <c r="D15" s="119">
        <v>0</v>
      </c>
      <c r="E15" s="119">
        <v>0</v>
      </c>
      <c r="F15" s="119">
        <v>0</v>
      </c>
      <c r="G15" s="119">
        <v>10000</v>
      </c>
      <c r="H15" s="119"/>
      <c r="I15" s="119"/>
      <c r="J15" s="119"/>
      <c r="K15" s="119"/>
      <c r="L15" s="119"/>
      <c r="M15" s="119"/>
      <c r="N15" s="119">
        <f>D15-G15</f>
        <v>-10000</v>
      </c>
      <c r="O15" s="119"/>
      <c r="P15" s="120"/>
      <c r="Q15" s="120"/>
      <c r="R15" s="120"/>
      <c r="S15" s="120"/>
    </row>
    <row r="16" spans="1:23" x14ac:dyDescent="0.2">
      <c r="A16" s="120"/>
      <c r="B16" s="123">
        <v>46266</v>
      </c>
      <c r="C16" s="119">
        <f>C15-G15</f>
        <v>276966.90418000001</v>
      </c>
      <c r="D16" s="119">
        <f t="shared" ref="D16:D27" si="3">(C16*T$2)/12</f>
        <v>803.20402212199997</v>
      </c>
      <c r="E16" s="119">
        <f t="shared" si="1"/>
        <v>547.79597787800003</v>
      </c>
      <c r="F16" s="119">
        <v>1351</v>
      </c>
      <c r="G16" s="120"/>
      <c r="H16" s="120"/>
      <c r="I16" s="119">
        <v>650</v>
      </c>
      <c r="J16" s="119"/>
      <c r="K16" s="119"/>
      <c r="L16" s="119"/>
      <c r="M16" s="119"/>
      <c r="N16" s="119">
        <f t="shared" ref="N16:N27" si="4">I16-D16</f>
        <v>-153.20402212199997</v>
      </c>
      <c r="O16" s="119"/>
      <c r="P16" s="120"/>
      <c r="Q16" s="120"/>
      <c r="R16" s="120"/>
      <c r="S16" s="120"/>
    </row>
    <row r="17" spans="1:20" x14ac:dyDescent="0.2">
      <c r="A17" s="120"/>
      <c r="B17" s="123">
        <v>46296</v>
      </c>
      <c r="C17" s="119">
        <f t="shared" si="2"/>
        <v>276419.10820212204</v>
      </c>
      <c r="D17" s="119">
        <f t="shared" si="3"/>
        <v>801.61541378615391</v>
      </c>
      <c r="E17" s="119">
        <f t="shared" si="1"/>
        <v>549.38458621384609</v>
      </c>
      <c r="F17" s="119">
        <v>1351</v>
      </c>
      <c r="G17" s="120"/>
      <c r="H17" s="120"/>
      <c r="I17" s="119">
        <v>650</v>
      </c>
      <c r="J17" s="119"/>
      <c r="K17" s="119"/>
      <c r="L17" s="119"/>
      <c r="M17" s="119"/>
      <c r="N17" s="119">
        <f t="shared" si="4"/>
        <v>-151.61541378615391</v>
      </c>
      <c r="O17" s="119"/>
      <c r="P17" s="120"/>
      <c r="Q17" s="120"/>
      <c r="R17" s="120"/>
      <c r="S17" s="120"/>
    </row>
    <row r="18" spans="1:20" x14ac:dyDescent="0.2">
      <c r="A18" s="120"/>
      <c r="B18" s="123">
        <v>46327</v>
      </c>
      <c r="C18" s="119">
        <f t="shared" si="2"/>
        <v>275869.72361590818</v>
      </c>
      <c r="D18" s="119">
        <f t="shared" si="3"/>
        <v>800.02219848613368</v>
      </c>
      <c r="E18" s="119">
        <f t="shared" si="1"/>
        <v>550.97780151386632</v>
      </c>
      <c r="F18" s="119">
        <v>1351</v>
      </c>
      <c r="G18" s="120"/>
      <c r="H18" s="120"/>
      <c r="I18" s="119">
        <v>650</v>
      </c>
      <c r="J18" s="119"/>
      <c r="K18" s="119"/>
      <c r="L18" s="119"/>
      <c r="M18" s="119"/>
      <c r="N18" s="119">
        <f t="shared" si="4"/>
        <v>-150.02219848613368</v>
      </c>
      <c r="O18" s="119"/>
      <c r="P18" s="120"/>
      <c r="Q18" s="120"/>
      <c r="R18" s="120"/>
      <c r="S18" s="120"/>
    </row>
    <row r="19" spans="1:20" s="3" customFormat="1" x14ac:dyDescent="0.2">
      <c r="A19" s="117">
        <v>1</v>
      </c>
      <c r="B19" s="121">
        <v>46357</v>
      </c>
      <c r="C19" s="118">
        <f t="shared" si="2"/>
        <v>275318.74581439432</v>
      </c>
      <c r="D19" s="118">
        <f t="shared" si="3"/>
        <v>798.42436286174359</v>
      </c>
      <c r="E19" s="118">
        <f t="shared" si="1"/>
        <v>552.57563713825641</v>
      </c>
      <c r="F19" s="118">
        <v>1351</v>
      </c>
      <c r="G19" s="117"/>
      <c r="H19" s="117"/>
      <c r="I19" s="118">
        <v>650</v>
      </c>
      <c r="J19" s="118">
        <f>SUM(E7:E19)+G15</f>
        <v>13233.829822743968</v>
      </c>
      <c r="K19" s="118">
        <f>SUM(I7:I19)-SUM(D7:D19)</f>
        <v>-4720.42017725603</v>
      </c>
      <c r="L19" s="118">
        <v>230</v>
      </c>
      <c r="M19" s="118">
        <v>3040</v>
      </c>
      <c r="N19" s="118">
        <f t="shared" si="4"/>
        <v>-148.42436286174359</v>
      </c>
      <c r="O19" s="118">
        <f>SUM(N7:N19)+L19+M19</f>
        <v>-18450.420177256034</v>
      </c>
      <c r="P19" s="118">
        <f>K19+L19+M19-H7-H12</f>
        <v>-8450.42017725603</v>
      </c>
      <c r="Q19" s="122">
        <f>P19/J19</f>
        <v>-0.63854683719243099</v>
      </c>
      <c r="R19" s="118">
        <f>C$222 * W$2</f>
        <v>6479.9999999999991</v>
      </c>
      <c r="S19" s="118">
        <f>P19+R19</f>
        <v>-1970.4201772560309</v>
      </c>
      <c r="T19" s="111"/>
    </row>
    <row r="20" spans="1:20" x14ac:dyDescent="0.2">
      <c r="A20" s="120"/>
      <c r="B20" s="123">
        <v>46388</v>
      </c>
      <c r="C20" s="119">
        <f t="shared" ref="C20" si="5">C19-E19</f>
        <v>274766.17017725605</v>
      </c>
      <c r="D20" s="119">
        <f t="shared" si="3"/>
        <v>796.82189351404247</v>
      </c>
      <c r="E20" s="119">
        <f t="shared" si="1"/>
        <v>554.17810648595753</v>
      </c>
      <c r="F20" s="119">
        <v>1351</v>
      </c>
      <c r="G20" s="120"/>
      <c r="H20" s="120"/>
      <c r="I20" s="119">
        <v>650</v>
      </c>
      <c r="J20" s="119"/>
      <c r="K20" s="119"/>
      <c r="L20" s="119"/>
      <c r="M20" s="119"/>
      <c r="N20" s="119">
        <f t="shared" si="4"/>
        <v>-146.82189351404247</v>
      </c>
      <c r="O20" s="119"/>
      <c r="P20" s="120"/>
      <c r="Q20" s="120"/>
      <c r="R20" s="120"/>
      <c r="S20" s="120"/>
    </row>
    <row r="21" spans="1:20" x14ac:dyDescent="0.2">
      <c r="A21" s="120"/>
      <c r="B21" s="123">
        <v>46419</v>
      </c>
      <c r="C21" s="119">
        <f t="shared" ref="C21:C89" si="6">C20-E20</f>
        <v>274211.99207077007</v>
      </c>
      <c r="D21" s="119">
        <f t="shared" si="3"/>
        <v>795.21477700523303</v>
      </c>
      <c r="E21" s="119">
        <f t="shared" si="1"/>
        <v>555.78522299476697</v>
      </c>
      <c r="F21" s="119">
        <v>1351</v>
      </c>
      <c r="G21" s="120"/>
      <c r="H21" s="120"/>
      <c r="I21" s="119">
        <v>650</v>
      </c>
      <c r="J21" s="119"/>
      <c r="K21" s="119"/>
      <c r="L21" s="119"/>
      <c r="M21" s="119"/>
      <c r="N21" s="119">
        <f t="shared" si="4"/>
        <v>-145.21477700523303</v>
      </c>
      <c r="O21" s="119"/>
      <c r="P21" s="120"/>
      <c r="Q21" s="120"/>
      <c r="R21" s="120"/>
      <c r="S21" s="120"/>
    </row>
    <row r="22" spans="1:20" x14ac:dyDescent="0.2">
      <c r="A22" s="120"/>
      <c r="B22" s="123">
        <v>46447</v>
      </c>
      <c r="C22" s="119">
        <f t="shared" si="6"/>
        <v>273656.20684777532</v>
      </c>
      <c r="D22" s="119">
        <f t="shared" si="3"/>
        <v>793.60299985854829</v>
      </c>
      <c r="E22" s="119">
        <f t="shared" si="1"/>
        <v>557.39700014145171</v>
      </c>
      <c r="F22" s="119">
        <v>1351</v>
      </c>
      <c r="G22" s="120"/>
      <c r="H22" s="120"/>
      <c r="I22" s="119">
        <v>650</v>
      </c>
      <c r="J22" s="119"/>
      <c r="K22" s="119"/>
      <c r="L22" s="119"/>
      <c r="M22" s="119"/>
      <c r="N22" s="119">
        <f t="shared" si="4"/>
        <v>-143.60299985854829</v>
      </c>
      <c r="O22" s="119"/>
      <c r="P22" s="120"/>
      <c r="Q22" s="120"/>
      <c r="R22" s="120"/>
      <c r="S22" s="120"/>
    </row>
    <row r="23" spans="1:20" x14ac:dyDescent="0.2">
      <c r="A23" s="120"/>
      <c r="B23" s="123">
        <v>46478</v>
      </c>
      <c r="C23" s="119">
        <f t="shared" si="6"/>
        <v>273098.80984763388</v>
      </c>
      <c r="D23" s="119">
        <f t="shared" si="3"/>
        <v>791.98654855813822</v>
      </c>
      <c r="E23" s="119">
        <f t="shared" si="1"/>
        <v>559.01345144186178</v>
      </c>
      <c r="F23" s="119">
        <v>1351</v>
      </c>
      <c r="G23" s="120"/>
      <c r="H23" s="120"/>
      <c r="I23" s="119">
        <v>650</v>
      </c>
      <c r="J23" s="119"/>
      <c r="K23" s="119"/>
      <c r="L23" s="119"/>
      <c r="M23" s="119"/>
      <c r="N23" s="119">
        <f t="shared" si="4"/>
        <v>-141.98654855813822</v>
      </c>
      <c r="O23" s="119"/>
      <c r="P23" s="120"/>
      <c r="Q23" s="120"/>
      <c r="R23" s="120"/>
      <c r="S23" s="120"/>
    </row>
    <row r="24" spans="1:20" x14ac:dyDescent="0.2">
      <c r="A24" s="120"/>
      <c r="B24" s="123">
        <v>46508</v>
      </c>
      <c r="C24" s="119">
        <f t="shared" si="6"/>
        <v>272539.79639619199</v>
      </c>
      <c r="D24" s="119">
        <f t="shared" si="3"/>
        <v>790.36540954895679</v>
      </c>
      <c r="E24" s="119">
        <f t="shared" si="1"/>
        <v>560.63459045104321</v>
      </c>
      <c r="F24" s="119">
        <v>1351</v>
      </c>
      <c r="G24" s="120"/>
      <c r="H24" s="120"/>
      <c r="I24" s="119">
        <v>650</v>
      </c>
      <c r="J24" s="119"/>
      <c r="K24" s="119"/>
      <c r="L24" s="119"/>
      <c r="M24" s="119"/>
      <c r="N24" s="119">
        <f t="shared" si="4"/>
        <v>-140.36540954895679</v>
      </c>
      <c r="O24" s="119"/>
      <c r="P24" s="120"/>
      <c r="Q24" s="120"/>
      <c r="R24" s="120"/>
      <c r="S24" s="120"/>
    </row>
    <row r="25" spans="1:20" x14ac:dyDescent="0.2">
      <c r="A25" s="120"/>
      <c r="B25" s="123">
        <v>46539</v>
      </c>
      <c r="C25" s="119">
        <f t="shared" si="6"/>
        <v>271979.16180574097</v>
      </c>
      <c r="D25" s="119">
        <f t="shared" si="3"/>
        <v>788.73956923664866</v>
      </c>
      <c r="E25" s="119">
        <f t="shared" si="1"/>
        <v>562.26043076335134</v>
      </c>
      <c r="F25" s="119">
        <v>1351</v>
      </c>
      <c r="G25" s="120"/>
      <c r="H25" s="120"/>
      <c r="I25" s="119">
        <v>650</v>
      </c>
      <c r="J25" s="119"/>
      <c r="K25" s="119"/>
      <c r="L25" s="119"/>
      <c r="M25" s="119"/>
      <c r="N25" s="119">
        <f t="shared" si="4"/>
        <v>-138.73956923664866</v>
      </c>
      <c r="O25" s="119"/>
      <c r="P25" s="120"/>
      <c r="Q25" s="120"/>
      <c r="R25" s="120"/>
      <c r="S25" s="120"/>
    </row>
    <row r="26" spans="1:20" x14ac:dyDescent="0.2">
      <c r="A26" s="120"/>
      <c r="B26" s="123">
        <v>46569</v>
      </c>
      <c r="C26" s="119">
        <f t="shared" si="6"/>
        <v>271416.90137497761</v>
      </c>
      <c r="D26" s="119">
        <f t="shared" si="3"/>
        <v>787.10901398743499</v>
      </c>
      <c r="E26" s="119">
        <f t="shared" si="1"/>
        <v>563.89098601256501</v>
      </c>
      <c r="F26" s="119">
        <v>1351</v>
      </c>
      <c r="G26" s="120"/>
      <c r="H26" s="120"/>
      <c r="I26" s="119">
        <v>650</v>
      </c>
      <c r="J26" s="119"/>
      <c r="K26" s="119"/>
      <c r="L26" s="119"/>
      <c r="M26" s="119"/>
      <c r="N26" s="119">
        <f t="shared" si="4"/>
        <v>-137.10901398743499</v>
      </c>
      <c r="O26" s="119"/>
      <c r="P26" s="120"/>
      <c r="Q26" s="120"/>
      <c r="R26" s="120"/>
      <c r="S26" s="120"/>
    </row>
    <row r="27" spans="1:20" x14ac:dyDescent="0.2">
      <c r="A27" s="120"/>
      <c r="B27" s="123">
        <v>46600</v>
      </c>
      <c r="C27" s="119">
        <f t="shared" si="6"/>
        <v>270853.01038896502</v>
      </c>
      <c r="D27" s="119">
        <f t="shared" si="3"/>
        <v>785.47373012799846</v>
      </c>
      <c r="E27" s="119">
        <f t="shared" si="1"/>
        <v>565.52626987200154</v>
      </c>
      <c r="F27" s="119">
        <v>1351</v>
      </c>
      <c r="G27" s="120"/>
      <c r="H27" s="120"/>
      <c r="I27" s="119">
        <v>650</v>
      </c>
      <c r="J27" s="119"/>
      <c r="K27" s="119"/>
      <c r="L27" s="119"/>
      <c r="M27" s="119"/>
      <c r="N27" s="119">
        <f t="shared" si="4"/>
        <v>-135.47373012799846</v>
      </c>
      <c r="O27" s="119"/>
      <c r="P27" s="120"/>
      <c r="Q27" s="120"/>
      <c r="R27" s="120"/>
      <c r="S27" s="120"/>
    </row>
    <row r="28" spans="1:20" x14ac:dyDescent="0.2">
      <c r="A28" s="120"/>
      <c r="B28" s="123">
        <v>46630</v>
      </c>
      <c r="C28" s="119">
        <f t="shared" si="6"/>
        <v>270287.48411909305</v>
      </c>
      <c r="D28" s="119">
        <v>0</v>
      </c>
      <c r="E28" s="119">
        <v>0</v>
      </c>
      <c r="F28" s="119">
        <v>0</v>
      </c>
      <c r="G28" s="119">
        <f>'Haushalt (Cash)'!$G$28</f>
        <v>10000</v>
      </c>
      <c r="H28" s="119"/>
      <c r="I28" s="119"/>
      <c r="J28" s="119"/>
      <c r="K28" s="119"/>
      <c r="L28" s="119"/>
      <c r="M28" s="119"/>
      <c r="N28" s="119">
        <f>D28-G28</f>
        <v>-10000</v>
      </c>
      <c r="O28" s="119"/>
      <c r="P28" s="120"/>
      <c r="Q28" s="120"/>
      <c r="R28" s="120"/>
      <c r="S28" s="120"/>
    </row>
    <row r="29" spans="1:20" x14ac:dyDescent="0.2">
      <c r="A29" s="120"/>
      <c r="B29" s="123">
        <v>46631</v>
      </c>
      <c r="C29" s="119">
        <f>C28-G28</f>
        <v>260287.48411909305</v>
      </c>
      <c r="D29" s="119">
        <f t="shared" ref="D29:D40" si="7">(C29*T$2)/12</f>
        <v>754.83370394536985</v>
      </c>
      <c r="E29" s="119">
        <f t="shared" si="1"/>
        <v>596.16629605463015</v>
      </c>
      <c r="F29" s="119">
        <v>1351</v>
      </c>
      <c r="G29" s="120"/>
      <c r="H29" s="120"/>
      <c r="I29" s="119">
        <v>650</v>
      </c>
      <c r="J29" s="119"/>
      <c r="K29" s="119"/>
      <c r="L29" s="119"/>
      <c r="M29" s="119"/>
      <c r="N29" s="119">
        <f t="shared" ref="N29:N40" si="8">I29-D29</f>
        <v>-104.83370394536985</v>
      </c>
      <c r="O29" s="119"/>
      <c r="P29" s="120"/>
      <c r="Q29" s="120"/>
      <c r="R29" s="120"/>
      <c r="S29" s="120"/>
    </row>
    <row r="30" spans="1:20" x14ac:dyDescent="0.2">
      <c r="A30" s="120"/>
      <c r="B30" s="123">
        <v>46661</v>
      </c>
      <c r="C30" s="119">
        <f t="shared" si="6"/>
        <v>259691.31782303841</v>
      </c>
      <c r="D30" s="119">
        <f t="shared" si="7"/>
        <v>753.10482168681131</v>
      </c>
      <c r="E30" s="119">
        <f t="shared" si="1"/>
        <v>597.89517831318869</v>
      </c>
      <c r="F30" s="119">
        <v>1351</v>
      </c>
      <c r="G30" s="120"/>
      <c r="H30" s="120"/>
      <c r="I30" s="119">
        <v>650</v>
      </c>
      <c r="J30" s="119"/>
      <c r="K30" s="119"/>
      <c r="L30" s="119"/>
      <c r="M30" s="119"/>
      <c r="N30" s="119">
        <f t="shared" si="8"/>
        <v>-103.10482168681131</v>
      </c>
      <c r="O30" s="119"/>
      <c r="P30" s="120"/>
      <c r="Q30" s="120"/>
      <c r="R30" s="120"/>
      <c r="S30" s="120"/>
    </row>
    <row r="31" spans="1:20" x14ac:dyDescent="0.2">
      <c r="A31" s="120"/>
      <c r="B31" s="123">
        <v>46692</v>
      </c>
      <c r="C31" s="119">
        <f t="shared" si="6"/>
        <v>259093.42264472521</v>
      </c>
      <c r="D31" s="119">
        <f t="shared" si="7"/>
        <v>751.37092566970307</v>
      </c>
      <c r="E31" s="119">
        <f t="shared" si="1"/>
        <v>599.62907433029693</v>
      </c>
      <c r="F31" s="119">
        <v>1351</v>
      </c>
      <c r="G31" s="120"/>
      <c r="H31" s="120"/>
      <c r="I31" s="119">
        <v>650</v>
      </c>
      <c r="J31" s="119"/>
      <c r="K31" s="119"/>
      <c r="L31" s="119"/>
      <c r="M31" s="119"/>
      <c r="N31" s="119">
        <f t="shared" si="8"/>
        <v>-101.37092566970307</v>
      </c>
      <c r="O31" s="119"/>
      <c r="P31" s="120"/>
      <c r="Q31" s="120"/>
      <c r="R31" s="120"/>
      <c r="S31" s="120"/>
    </row>
    <row r="32" spans="1:20" s="3" customFormat="1" x14ac:dyDescent="0.2">
      <c r="A32" s="117">
        <v>2</v>
      </c>
      <c r="B32" s="121">
        <v>46722</v>
      </c>
      <c r="C32" s="118">
        <f t="shared" si="6"/>
        <v>258493.79357039492</v>
      </c>
      <c r="D32" s="118">
        <f t="shared" si="7"/>
        <v>749.63200135414525</v>
      </c>
      <c r="E32" s="118">
        <f t="shared" si="1"/>
        <v>601.36799864585475</v>
      </c>
      <c r="F32" s="118">
        <v>1351</v>
      </c>
      <c r="G32" s="117"/>
      <c r="H32" s="117"/>
      <c r="I32" s="118">
        <v>650</v>
      </c>
      <c r="J32" s="118">
        <f>SUM(E20:E32)+G28</f>
        <v>16873.74460550697</v>
      </c>
      <c r="K32" s="118">
        <f>SUM(I20:I32)-SUM(D20:D32)</f>
        <v>-1538.2553944930296</v>
      </c>
      <c r="L32" s="118">
        <v>230</v>
      </c>
      <c r="M32" s="118">
        <v>2500</v>
      </c>
      <c r="N32" s="118">
        <f t="shared" si="8"/>
        <v>-99.632001354145245</v>
      </c>
      <c r="O32" s="118">
        <f>SUM(N20:N32)+L32+M32</f>
        <v>-8808.2553944930296</v>
      </c>
      <c r="P32" s="118">
        <f>K32+L32+M32</f>
        <v>1191.7446055069704</v>
      </c>
      <c r="Q32" s="122">
        <f>P32/J32</f>
        <v>7.0627156767445007E-2</v>
      </c>
      <c r="R32" s="118">
        <f>(C$222 + R19) * W$2</f>
        <v>6596.6399999999994</v>
      </c>
      <c r="S32" s="118">
        <f>P32+R32</f>
        <v>7788.3846055069698</v>
      </c>
      <c r="T32" s="111"/>
    </row>
    <row r="33" spans="1:20" x14ac:dyDescent="0.2">
      <c r="A33" s="120"/>
      <c r="B33" s="123">
        <v>46753</v>
      </c>
      <c r="C33" s="119">
        <f t="shared" si="6"/>
        <v>257892.42557174907</v>
      </c>
      <c r="D33" s="119">
        <f t="shared" si="7"/>
        <v>747.88803415807217</v>
      </c>
      <c r="E33" s="119">
        <f t="shared" si="1"/>
        <v>603.11196584192783</v>
      </c>
      <c r="F33" s="119">
        <v>1351</v>
      </c>
      <c r="G33" s="120"/>
      <c r="H33" s="120"/>
      <c r="I33" s="119">
        <v>650</v>
      </c>
      <c r="J33" s="119"/>
      <c r="K33" s="119"/>
      <c r="L33" s="119"/>
      <c r="M33" s="119"/>
      <c r="N33" s="119">
        <f t="shared" si="8"/>
        <v>-97.888034158072173</v>
      </c>
      <c r="O33" s="119"/>
      <c r="P33" s="120"/>
      <c r="Q33" s="120"/>
      <c r="R33" s="120"/>
      <c r="S33" s="120"/>
    </row>
    <row r="34" spans="1:20" x14ac:dyDescent="0.2">
      <c r="A34" s="120"/>
      <c r="B34" s="123">
        <v>46784</v>
      </c>
      <c r="C34" s="119">
        <f t="shared" si="6"/>
        <v>257289.31360590714</v>
      </c>
      <c r="D34" s="119">
        <f t="shared" si="7"/>
        <v>746.13900945713067</v>
      </c>
      <c r="E34" s="119">
        <f t="shared" si="1"/>
        <v>604.86099054286933</v>
      </c>
      <c r="F34" s="119">
        <v>1351</v>
      </c>
      <c r="G34" s="120"/>
      <c r="H34" s="120"/>
      <c r="I34" s="119">
        <v>650</v>
      </c>
      <c r="J34" s="119"/>
      <c r="K34" s="119"/>
      <c r="L34" s="119"/>
      <c r="M34" s="119"/>
      <c r="N34" s="119">
        <f t="shared" si="8"/>
        <v>-96.139009457130669</v>
      </c>
      <c r="O34" s="119"/>
      <c r="P34" s="120"/>
      <c r="Q34" s="120"/>
      <c r="R34" s="120"/>
      <c r="S34" s="120"/>
    </row>
    <row r="35" spans="1:20" x14ac:dyDescent="0.2">
      <c r="A35" s="120"/>
      <c r="B35" s="123">
        <v>46813</v>
      </c>
      <c r="C35" s="119">
        <f t="shared" si="6"/>
        <v>256684.45261536428</v>
      </c>
      <c r="D35" s="119">
        <f t="shared" si="7"/>
        <v>744.38491258455633</v>
      </c>
      <c r="E35" s="119">
        <f t="shared" si="1"/>
        <v>606.61508741544367</v>
      </c>
      <c r="F35" s="119">
        <v>1351</v>
      </c>
      <c r="G35" s="120"/>
      <c r="H35" s="120"/>
      <c r="I35" s="119">
        <v>650</v>
      </c>
      <c r="J35" s="119"/>
      <c r="K35" s="119"/>
      <c r="L35" s="119"/>
      <c r="M35" s="119"/>
      <c r="N35" s="119">
        <f t="shared" si="8"/>
        <v>-94.384912584556332</v>
      </c>
      <c r="O35" s="119"/>
      <c r="P35" s="120"/>
      <c r="Q35" s="120"/>
      <c r="R35" s="120"/>
      <c r="S35" s="120"/>
    </row>
    <row r="36" spans="1:20" x14ac:dyDescent="0.2">
      <c r="A36" s="120"/>
      <c r="B36" s="123">
        <v>46844</v>
      </c>
      <c r="C36" s="119">
        <f t="shared" si="6"/>
        <v>256077.83752794884</v>
      </c>
      <c r="D36" s="119">
        <f t="shared" si="7"/>
        <v>742.62572883105156</v>
      </c>
      <c r="E36" s="119">
        <f t="shared" si="1"/>
        <v>608.37427116894844</v>
      </c>
      <c r="F36" s="119">
        <v>1351</v>
      </c>
      <c r="G36" s="120"/>
      <c r="H36" s="120"/>
      <c r="I36" s="119">
        <v>650</v>
      </c>
      <c r="J36" s="119"/>
      <c r="K36" s="119"/>
      <c r="L36" s="119"/>
      <c r="M36" s="119"/>
      <c r="N36" s="119">
        <f t="shared" si="8"/>
        <v>-92.625728831051561</v>
      </c>
      <c r="O36" s="119"/>
      <c r="P36" s="120"/>
      <c r="Q36" s="120"/>
      <c r="R36" s="120"/>
      <c r="S36" s="120"/>
    </row>
    <row r="37" spans="1:20" x14ac:dyDescent="0.2">
      <c r="A37" s="120"/>
      <c r="B37" s="123">
        <v>46874</v>
      </c>
      <c r="C37" s="119">
        <f t="shared" si="6"/>
        <v>255469.46325677988</v>
      </c>
      <c r="D37" s="119">
        <f t="shared" si="7"/>
        <v>740.86144344466163</v>
      </c>
      <c r="E37" s="119">
        <f t="shared" si="1"/>
        <v>610.13855655533837</v>
      </c>
      <c r="F37" s="119">
        <v>1351</v>
      </c>
      <c r="G37" s="120"/>
      <c r="H37" s="120"/>
      <c r="I37" s="119">
        <v>650</v>
      </c>
      <c r="J37" s="119"/>
      <c r="K37" s="119"/>
      <c r="L37" s="119"/>
      <c r="M37" s="119"/>
      <c r="N37" s="119">
        <f t="shared" si="8"/>
        <v>-90.861443444661631</v>
      </c>
      <c r="O37" s="119"/>
      <c r="P37" s="120"/>
      <c r="Q37" s="120"/>
      <c r="R37" s="120"/>
      <c r="S37" s="120"/>
    </row>
    <row r="38" spans="1:20" x14ac:dyDescent="0.2">
      <c r="A38" s="120"/>
      <c r="B38" s="123">
        <v>46905</v>
      </c>
      <c r="C38" s="119">
        <f t="shared" si="6"/>
        <v>254859.32470022453</v>
      </c>
      <c r="D38" s="119">
        <f t="shared" si="7"/>
        <v>739.09204163065112</v>
      </c>
      <c r="E38" s="119">
        <f t="shared" si="1"/>
        <v>611.90795836934888</v>
      </c>
      <c r="F38" s="119">
        <v>1351</v>
      </c>
      <c r="G38" s="120"/>
      <c r="H38" s="120"/>
      <c r="I38" s="119">
        <v>650</v>
      </c>
      <c r="J38" s="119"/>
      <c r="K38" s="119"/>
      <c r="L38" s="119"/>
      <c r="M38" s="119"/>
      <c r="N38" s="119">
        <f t="shared" si="8"/>
        <v>-89.092041630651124</v>
      </c>
      <c r="O38" s="119"/>
      <c r="P38" s="120"/>
      <c r="Q38" s="120"/>
      <c r="R38" s="120"/>
      <c r="S38" s="120"/>
    </row>
    <row r="39" spans="1:20" x14ac:dyDescent="0.2">
      <c r="A39" s="120"/>
      <c r="B39" s="123">
        <v>46935</v>
      </c>
      <c r="C39" s="119">
        <f t="shared" si="6"/>
        <v>254247.41674185518</v>
      </c>
      <c r="D39" s="119">
        <f t="shared" si="7"/>
        <v>737.31750855138</v>
      </c>
      <c r="E39" s="119">
        <f t="shared" si="1"/>
        <v>613.68249144862</v>
      </c>
      <c r="F39" s="119">
        <v>1351</v>
      </c>
      <c r="G39" s="120"/>
      <c r="H39" s="120"/>
      <c r="I39" s="119">
        <v>650</v>
      </c>
      <c r="J39" s="119"/>
      <c r="K39" s="119"/>
      <c r="L39" s="119"/>
      <c r="M39" s="119"/>
      <c r="N39" s="119">
        <f t="shared" si="8"/>
        <v>-87.317508551380001</v>
      </c>
      <c r="O39" s="119"/>
      <c r="P39" s="120"/>
      <c r="Q39" s="120"/>
      <c r="R39" s="120"/>
      <c r="S39" s="120"/>
    </row>
    <row r="40" spans="1:20" x14ac:dyDescent="0.2">
      <c r="A40" s="120"/>
      <c r="B40" s="123">
        <v>46966</v>
      </c>
      <c r="C40" s="119">
        <f t="shared" si="6"/>
        <v>253633.73425040656</v>
      </c>
      <c r="D40" s="119">
        <f t="shared" si="7"/>
        <v>735.53782932617889</v>
      </c>
      <c r="E40" s="119">
        <f t="shared" si="1"/>
        <v>615.46217067382111</v>
      </c>
      <c r="F40" s="119">
        <v>1351</v>
      </c>
      <c r="G40" s="120"/>
      <c r="H40" s="120"/>
      <c r="I40" s="119">
        <v>650</v>
      </c>
      <c r="J40" s="119"/>
      <c r="K40" s="119"/>
      <c r="L40" s="119"/>
      <c r="M40" s="119"/>
      <c r="N40" s="119">
        <f t="shared" si="8"/>
        <v>-85.537829326178894</v>
      </c>
      <c r="O40" s="119"/>
      <c r="P40" s="120"/>
      <c r="Q40" s="120"/>
      <c r="R40" s="120"/>
      <c r="S40" s="120"/>
    </row>
    <row r="41" spans="1:20" x14ac:dyDescent="0.2">
      <c r="A41" s="120"/>
      <c r="B41" s="123">
        <v>46996</v>
      </c>
      <c r="C41" s="119">
        <f t="shared" ref="C41" si="9">C40-E40</f>
        <v>253018.27207973273</v>
      </c>
      <c r="D41" s="119">
        <v>0</v>
      </c>
      <c r="E41" s="119">
        <v>0</v>
      </c>
      <c r="F41" s="119">
        <v>0</v>
      </c>
      <c r="G41" s="119">
        <f>'Haushalt (Cash)'!$G$28</f>
        <v>10000</v>
      </c>
      <c r="H41" s="119"/>
      <c r="I41" s="119"/>
      <c r="J41" s="119"/>
      <c r="K41" s="119"/>
      <c r="L41" s="119"/>
      <c r="M41" s="119"/>
      <c r="N41" s="119">
        <f>D41-G41</f>
        <v>-10000</v>
      </c>
      <c r="O41" s="119"/>
      <c r="P41" s="120"/>
      <c r="Q41" s="120"/>
      <c r="R41" s="120"/>
      <c r="S41" s="120"/>
    </row>
    <row r="42" spans="1:20" x14ac:dyDescent="0.2">
      <c r="A42" s="120"/>
      <c r="B42" s="123">
        <v>46997</v>
      </c>
      <c r="C42" s="119">
        <f>C41-G41</f>
        <v>243018.27207973273</v>
      </c>
      <c r="D42" s="119">
        <f t="shared" ref="D42:D53" si="10">(C42*T$2)/12</f>
        <v>704.75298903122484</v>
      </c>
      <c r="E42" s="119">
        <f t="shared" si="1"/>
        <v>646.24701096877516</v>
      </c>
      <c r="F42" s="119">
        <v>1351</v>
      </c>
      <c r="G42" s="120"/>
      <c r="H42" s="120"/>
      <c r="I42" s="119">
        <v>650</v>
      </c>
      <c r="J42" s="119"/>
      <c r="K42" s="119"/>
      <c r="L42" s="119"/>
      <c r="M42" s="119"/>
      <c r="N42" s="119">
        <f t="shared" ref="N42:N53" si="11">I42-D42</f>
        <v>-54.752989031224843</v>
      </c>
      <c r="O42" s="119"/>
      <c r="P42" s="120"/>
      <c r="Q42" s="120"/>
      <c r="R42" s="120"/>
      <c r="S42" s="120"/>
    </row>
    <row r="43" spans="1:20" x14ac:dyDescent="0.2">
      <c r="A43" s="120"/>
      <c r="B43" s="123">
        <v>47027</v>
      </c>
      <c r="C43" s="119">
        <f t="shared" si="6"/>
        <v>242372.02506876396</v>
      </c>
      <c r="D43" s="119">
        <f t="shared" si="10"/>
        <v>702.87887269941541</v>
      </c>
      <c r="E43" s="119">
        <f t="shared" si="1"/>
        <v>648.12112730058459</v>
      </c>
      <c r="F43" s="119">
        <v>1351</v>
      </c>
      <c r="G43" s="120"/>
      <c r="H43" s="120"/>
      <c r="I43" s="119">
        <v>650</v>
      </c>
      <c r="J43" s="119"/>
      <c r="K43" s="119"/>
      <c r="L43" s="119"/>
      <c r="M43" s="119"/>
      <c r="N43" s="119">
        <f t="shared" si="11"/>
        <v>-52.87887269941541</v>
      </c>
      <c r="O43" s="119"/>
      <c r="P43" s="120"/>
      <c r="Q43" s="120"/>
      <c r="R43" s="120"/>
      <c r="S43" s="120"/>
    </row>
    <row r="44" spans="1:20" x14ac:dyDescent="0.2">
      <c r="A44" s="120"/>
      <c r="B44" s="123">
        <v>47058</v>
      </c>
      <c r="C44" s="119">
        <f t="shared" si="6"/>
        <v>241723.90394146339</v>
      </c>
      <c r="D44" s="119">
        <f t="shared" si="10"/>
        <v>700.99932143024387</v>
      </c>
      <c r="E44" s="119">
        <f t="shared" si="1"/>
        <v>650.00067856975613</v>
      </c>
      <c r="F44" s="119">
        <v>1351</v>
      </c>
      <c r="G44" s="120"/>
      <c r="H44" s="120"/>
      <c r="I44" s="119">
        <v>650</v>
      </c>
      <c r="J44" s="119"/>
      <c r="K44" s="119"/>
      <c r="L44" s="119"/>
      <c r="M44" s="119"/>
      <c r="N44" s="119">
        <f t="shared" si="11"/>
        <v>-50.999321430243867</v>
      </c>
      <c r="O44" s="119"/>
      <c r="P44" s="120"/>
      <c r="Q44" s="120"/>
      <c r="R44" s="120"/>
      <c r="S44" s="120"/>
    </row>
    <row r="45" spans="1:20" s="3" customFormat="1" x14ac:dyDescent="0.2">
      <c r="A45" s="117">
        <v>3</v>
      </c>
      <c r="B45" s="121">
        <v>47088</v>
      </c>
      <c r="C45" s="118">
        <f t="shared" si="6"/>
        <v>241073.90326289364</v>
      </c>
      <c r="D45" s="118">
        <f t="shared" si="10"/>
        <v>699.11431946239145</v>
      </c>
      <c r="E45" s="118">
        <f t="shared" si="1"/>
        <v>651.88568053760855</v>
      </c>
      <c r="F45" s="118">
        <v>1351</v>
      </c>
      <c r="G45" s="117"/>
      <c r="H45" s="117"/>
      <c r="I45" s="118">
        <v>650</v>
      </c>
      <c r="J45" s="118">
        <f>SUM(E33:E45)+G41</f>
        <v>17470.407989393039</v>
      </c>
      <c r="K45" s="118">
        <f>SUM(I33:I45)-SUM(D33:D45)</f>
        <v>-941.59201060695887</v>
      </c>
      <c r="L45" s="118">
        <v>230</v>
      </c>
      <c r="M45" s="118">
        <v>2500</v>
      </c>
      <c r="N45" s="118">
        <f t="shared" si="11"/>
        <v>-49.11431946239145</v>
      </c>
      <c r="O45" s="118">
        <f>SUM(N33:N45)+L45+M45</f>
        <v>-8211.592010606957</v>
      </c>
      <c r="P45" s="118">
        <f>K45+L45+M45</f>
        <v>1788.4079893930411</v>
      </c>
      <c r="Q45" s="122">
        <f>P45/J45</f>
        <v>0.10236784341149061</v>
      </c>
      <c r="R45" s="118">
        <f>(C$222 + R19+ R32) * W$2</f>
        <v>6715.3795199999995</v>
      </c>
      <c r="S45" s="118">
        <f>P45+R45</f>
        <v>8503.7875093930415</v>
      </c>
      <c r="T45" s="111"/>
    </row>
    <row r="46" spans="1:20" x14ac:dyDescent="0.2">
      <c r="A46" s="120"/>
      <c r="B46" s="123">
        <v>47119</v>
      </c>
      <c r="C46" s="119">
        <f t="shared" si="6"/>
        <v>240422.01758235603</v>
      </c>
      <c r="D46" s="119">
        <f t="shared" si="10"/>
        <v>697.2238509888324</v>
      </c>
      <c r="E46" s="119">
        <f t="shared" si="1"/>
        <v>653.7761490111676</v>
      </c>
      <c r="F46" s="119">
        <v>1351</v>
      </c>
      <c r="G46" s="120"/>
      <c r="H46" s="120"/>
      <c r="I46" s="119">
        <v>650</v>
      </c>
      <c r="J46" s="119"/>
      <c r="K46" s="119"/>
      <c r="L46" s="119"/>
      <c r="M46" s="119"/>
      <c r="N46" s="119">
        <f t="shared" si="11"/>
        <v>-47.223850988832396</v>
      </c>
      <c r="O46" s="119"/>
      <c r="P46" s="120"/>
      <c r="Q46" s="120"/>
      <c r="R46" s="120"/>
      <c r="S46" s="120"/>
    </row>
    <row r="47" spans="1:20" x14ac:dyDescent="0.2">
      <c r="A47" s="120"/>
      <c r="B47" s="123">
        <v>47150</v>
      </c>
      <c r="C47" s="119">
        <f t="shared" si="6"/>
        <v>239768.24143334487</v>
      </c>
      <c r="D47" s="119">
        <f t="shared" si="10"/>
        <v>695.32790015670014</v>
      </c>
      <c r="E47" s="119">
        <f t="shared" si="1"/>
        <v>655.67209984329986</v>
      </c>
      <c r="F47" s="119">
        <v>1351</v>
      </c>
      <c r="G47" s="120"/>
      <c r="H47" s="120"/>
      <c r="I47" s="119">
        <v>650</v>
      </c>
      <c r="J47" s="119"/>
      <c r="K47" s="119"/>
      <c r="L47" s="119"/>
      <c r="M47" s="119"/>
      <c r="N47" s="119">
        <f t="shared" si="11"/>
        <v>-45.327900156700139</v>
      </c>
      <c r="O47" s="119"/>
      <c r="P47" s="120"/>
      <c r="Q47" s="120"/>
      <c r="R47" s="120"/>
      <c r="S47" s="120"/>
    </row>
    <row r="48" spans="1:20" x14ac:dyDescent="0.2">
      <c r="A48" s="120"/>
      <c r="B48" s="123">
        <v>47178</v>
      </c>
      <c r="C48" s="119">
        <f t="shared" si="6"/>
        <v>239112.56933350157</v>
      </c>
      <c r="D48" s="119">
        <f t="shared" si="10"/>
        <v>693.42645106715452</v>
      </c>
      <c r="E48" s="119">
        <f t="shared" si="1"/>
        <v>657.57354893284548</v>
      </c>
      <c r="F48" s="119">
        <v>1351</v>
      </c>
      <c r="G48" s="120"/>
      <c r="H48" s="120"/>
      <c r="I48" s="119">
        <v>650</v>
      </c>
      <c r="J48" s="119"/>
      <c r="K48" s="119"/>
      <c r="L48" s="119"/>
      <c r="M48" s="119"/>
      <c r="N48" s="119">
        <f t="shared" si="11"/>
        <v>-43.426451067154517</v>
      </c>
      <c r="O48" s="119"/>
      <c r="P48" s="120"/>
      <c r="Q48" s="120"/>
      <c r="R48" s="120"/>
      <c r="S48" s="120"/>
    </row>
    <row r="49" spans="1:19" x14ac:dyDescent="0.2">
      <c r="A49" s="120"/>
      <c r="B49" s="123">
        <v>47209</v>
      </c>
      <c r="C49" s="119">
        <f t="shared" si="6"/>
        <v>238454.99578456872</v>
      </c>
      <c r="D49" s="119">
        <f t="shared" si="10"/>
        <v>691.51948777524922</v>
      </c>
      <c r="E49" s="119">
        <f t="shared" si="1"/>
        <v>659.48051222475078</v>
      </c>
      <c r="F49" s="119">
        <v>1351</v>
      </c>
      <c r="G49" s="120"/>
      <c r="H49" s="120"/>
      <c r="I49" s="119">
        <v>650</v>
      </c>
      <c r="J49" s="119"/>
      <c r="K49" s="119"/>
      <c r="L49" s="119"/>
      <c r="M49" s="119"/>
      <c r="N49" s="119">
        <f t="shared" si="11"/>
        <v>-41.519487775249218</v>
      </c>
      <c r="O49" s="119"/>
      <c r="P49" s="120"/>
      <c r="Q49" s="120"/>
      <c r="R49" s="120"/>
      <c r="S49" s="120"/>
    </row>
    <row r="50" spans="1:19" x14ac:dyDescent="0.2">
      <c r="A50" s="120"/>
      <c r="B50" s="123">
        <v>47239</v>
      </c>
      <c r="C50" s="119">
        <f t="shared" si="6"/>
        <v>237795.51527234397</v>
      </c>
      <c r="D50" s="119">
        <f t="shared" si="10"/>
        <v>689.60699428979751</v>
      </c>
      <c r="E50" s="119">
        <f t="shared" si="1"/>
        <v>661.39300571020249</v>
      </c>
      <c r="F50" s="119">
        <v>1351</v>
      </c>
      <c r="G50" s="120"/>
      <c r="H50" s="120"/>
      <c r="I50" s="119">
        <v>650</v>
      </c>
      <c r="J50" s="119"/>
      <c r="K50" s="119"/>
      <c r="L50" s="119"/>
      <c r="M50" s="119"/>
      <c r="N50" s="119">
        <f t="shared" si="11"/>
        <v>-39.606994289797512</v>
      </c>
      <c r="O50" s="119"/>
      <c r="P50" s="120"/>
      <c r="Q50" s="120"/>
      <c r="R50" s="120"/>
      <c r="S50" s="120"/>
    </row>
    <row r="51" spans="1:19" x14ac:dyDescent="0.2">
      <c r="A51" s="120"/>
      <c r="B51" s="123">
        <v>47270</v>
      </c>
      <c r="C51" s="119">
        <f t="shared" si="6"/>
        <v>237134.12226663376</v>
      </c>
      <c r="D51" s="119">
        <f t="shared" si="10"/>
        <v>687.68895457323788</v>
      </c>
      <c r="E51" s="119">
        <f t="shared" si="1"/>
        <v>663.31104542676212</v>
      </c>
      <c r="F51" s="119">
        <v>1351</v>
      </c>
      <c r="G51" s="120"/>
      <c r="H51" s="120"/>
      <c r="I51" s="119">
        <v>650</v>
      </c>
      <c r="J51" s="119"/>
      <c r="K51" s="119"/>
      <c r="L51" s="119"/>
      <c r="M51" s="119"/>
      <c r="N51" s="119">
        <f t="shared" si="11"/>
        <v>-37.688954573237879</v>
      </c>
      <c r="O51" s="119"/>
      <c r="P51" s="120"/>
      <c r="Q51" s="120"/>
      <c r="R51" s="120"/>
      <c r="S51" s="120"/>
    </row>
    <row r="52" spans="1:19" x14ac:dyDescent="0.2">
      <c r="A52" s="120"/>
      <c r="B52" s="123">
        <v>47300</v>
      </c>
      <c r="C52" s="119">
        <f t="shared" si="6"/>
        <v>236470.811221207</v>
      </c>
      <c r="D52" s="119">
        <f t="shared" si="10"/>
        <v>685.76535254150031</v>
      </c>
      <c r="E52" s="119">
        <f t="shared" si="1"/>
        <v>665.23464745849969</v>
      </c>
      <c r="F52" s="119">
        <v>1351</v>
      </c>
      <c r="G52" s="120"/>
      <c r="H52" s="120"/>
      <c r="I52" s="119">
        <v>650</v>
      </c>
      <c r="J52" s="119"/>
      <c r="K52" s="119"/>
      <c r="L52" s="119"/>
      <c r="M52" s="119"/>
      <c r="N52" s="119">
        <f t="shared" si="11"/>
        <v>-35.765352541500306</v>
      </c>
      <c r="O52" s="119"/>
      <c r="P52" s="120"/>
      <c r="Q52" s="120"/>
      <c r="R52" s="120"/>
      <c r="S52" s="120"/>
    </row>
    <row r="53" spans="1:19" x14ac:dyDescent="0.2">
      <c r="A53" s="120"/>
      <c r="B53" s="123">
        <v>47331</v>
      </c>
      <c r="C53" s="119">
        <f t="shared" si="6"/>
        <v>235805.57657374849</v>
      </c>
      <c r="D53" s="119">
        <f t="shared" si="10"/>
        <v>683.83617206387055</v>
      </c>
      <c r="E53" s="119">
        <f t="shared" si="1"/>
        <v>667.16382793612945</v>
      </c>
      <c r="F53" s="119">
        <v>1351</v>
      </c>
      <c r="G53" s="120"/>
      <c r="H53" s="120"/>
      <c r="I53" s="119">
        <v>650</v>
      </c>
      <c r="J53" s="119"/>
      <c r="K53" s="119"/>
      <c r="L53" s="119"/>
      <c r="M53" s="119"/>
      <c r="N53" s="119">
        <f t="shared" si="11"/>
        <v>-33.836172063870549</v>
      </c>
      <c r="O53" s="119"/>
      <c r="P53" s="120"/>
      <c r="Q53" s="120"/>
      <c r="R53" s="120"/>
      <c r="S53" s="120"/>
    </row>
    <row r="54" spans="1:19" x14ac:dyDescent="0.2">
      <c r="A54" s="120"/>
      <c r="B54" s="123">
        <v>47361</v>
      </c>
      <c r="C54" s="119">
        <f t="shared" si="6"/>
        <v>235138.41274581235</v>
      </c>
      <c r="D54" s="119">
        <v>0</v>
      </c>
      <c r="E54" s="119">
        <v>0</v>
      </c>
      <c r="F54" s="119">
        <v>0</v>
      </c>
      <c r="G54" s="119">
        <f>'Haushalt (Cash)'!$G$28</f>
        <v>10000</v>
      </c>
      <c r="H54" s="119"/>
      <c r="I54" s="119"/>
      <c r="J54" s="119"/>
      <c r="K54" s="119"/>
      <c r="L54" s="119"/>
      <c r="M54" s="119"/>
      <c r="N54" s="119">
        <f>D54-G54</f>
        <v>-10000</v>
      </c>
      <c r="O54" s="119"/>
      <c r="P54" s="120"/>
      <c r="Q54" s="120"/>
      <c r="R54" s="120"/>
      <c r="S54" s="120"/>
    </row>
    <row r="55" spans="1:19" x14ac:dyDescent="0.2">
      <c r="A55" s="120"/>
      <c r="B55" s="123">
        <v>47362</v>
      </c>
      <c r="C55" s="119">
        <f>C54-G54</f>
        <v>225138.41274581235</v>
      </c>
      <c r="D55" s="119">
        <f t="shared" ref="D55:D66" si="12">(C55*T$2)/12</f>
        <v>652.90139696285576</v>
      </c>
      <c r="E55" s="119">
        <f t="shared" si="1"/>
        <v>698.09860303714424</v>
      </c>
      <c r="F55" s="119">
        <v>1351</v>
      </c>
      <c r="G55" s="120"/>
      <c r="H55" s="120"/>
      <c r="I55" s="119">
        <v>650</v>
      </c>
      <c r="J55" s="119"/>
      <c r="K55" s="119"/>
      <c r="L55" s="119"/>
      <c r="M55" s="119"/>
      <c r="N55" s="119">
        <f t="shared" ref="N55:N66" si="13">I55-D55</f>
        <v>-2.9013969628557561</v>
      </c>
      <c r="O55" s="119"/>
      <c r="P55" s="120"/>
      <c r="Q55" s="120"/>
      <c r="R55" s="120"/>
      <c r="S55" s="120"/>
    </row>
    <row r="56" spans="1:19" x14ac:dyDescent="0.2">
      <c r="A56" s="120"/>
      <c r="B56" s="123">
        <v>47392</v>
      </c>
      <c r="C56" s="119">
        <f t="shared" si="6"/>
        <v>224440.3141427752</v>
      </c>
      <c r="D56" s="119">
        <f t="shared" si="12"/>
        <v>650.87691101404801</v>
      </c>
      <c r="E56" s="119">
        <f t="shared" si="1"/>
        <v>700.12308898595199</v>
      </c>
      <c r="F56" s="119">
        <v>1351</v>
      </c>
      <c r="G56" s="120"/>
      <c r="H56" s="120"/>
      <c r="I56" s="119">
        <v>650</v>
      </c>
      <c r="J56" s="119"/>
      <c r="K56" s="119"/>
      <c r="L56" s="119"/>
      <c r="M56" s="119"/>
      <c r="N56" s="119">
        <f t="shared" si="13"/>
        <v>-0.8769110140480052</v>
      </c>
      <c r="O56" s="119"/>
      <c r="P56" s="120"/>
      <c r="Q56" s="120"/>
      <c r="R56" s="120"/>
      <c r="S56" s="120"/>
    </row>
    <row r="57" spans="1:19" x14ac:dyDescent="0.2">
      <c r="A57" s="120"/>
      <c r="B57" s="123">
        <v>47423</v>
      </c>
      <c r="C57" s="119">
        <f t="shared" si="6"/>
        <v>223740.19105378925</v>
      </c>
      <c r="D57" s="119">
        <f t="shared" si="12"/>
        <v>648.8465540559888</v>
      </c>
      <c r="E57" s="119">
        <f t="shared" si="1"/>
        <v>702.1534459440112</v>
      </c>
      <c r="F57" s="119">
        <v>1351</v>
      </c>
      <c r="G57" s="120"/>
      <c r="H57" s="120"/>
      <c r="I57" s="119">
        <v>650</v>
      </c>
      <c r="J57" s="119"/>
      <c r="K57" s="119"/>
      <c r="L57" s="119"/>
      <c r="M57" s="119"/>
      <c r="N57" s="119">
        <f t="shared" si="13"/>
        <v>1.1534459440111959</v>
      </c>
      <c r="O57" s="119"/>
      <c r="P57" s="120"/>
      <c r="Q57" s="120"/>
      <c r="R57" s="120"/>
      <c r="S57" s="120"/>
    </row>
    <row r="58" spans="1:19" s="3" customFormat="1" x14ac:dyDescent="0.2">
      <c r="A58" s="117">
        <v>4</v>
      </c>
      <c r="B58" s="121">
        <v>47453</v>
      </c>
      <c r="C58" s="118">
        <f t="shared" si="6"/>
        <v>223038.03760784524</v>
      </c>
      <c r="D58" s="118">
        <f t="shared" si="12"/>
        <v>646.81030906275112</v>
      </c>
      <c r="E58" s="118">
        <f t="shared" si="1"/>
        <v>704.18969093724888</v>
      </c>
      <c r="F58" s="118">
        <v>1351</v>
      </c>
      <c r="G58" s="117"/>
      <c r="H58" s="117"/>
      <c r="I58" s="118">
        <v>650</v>
      </c>
      <c r="J58" s="118">
        <f>SUM(E46:E58)+G54</f>
        <v>18088.169665448011</v>
      </c>
      <c r="K58" s="118">
        <f>SUM(I46:I58)-SUM(D46:D58)</f>
        <v>-323.83033455198711</v>
      </c>
      <c r="L58" s="118">
        <v>230</v>
      </c>
      <c r="M58" s="118">
        <v>2500</v>
      </c>
      <c r="N58" s="118">
        <f t="shared" si="13"/>
        <v>3.1896909372488835</v>
      </c>
      <c r="O58" s="118">
        <f>SUM(N46:N58)+L58+M58</f>
        <v>-7593.8303345519853</v>
      </c>
      <c r="P58" s="118">
        <f>K58+L58+M58</f>
        <v>2406.1696654480129</v>
      </c>
      <c r="Q58" s="122">
        <f>P58/J58</f>
        <v>0.13302449667111835</v>
      </c>
      <c r="R58" s="118">
        <f>(C$222 +R19+R32+ R45) * W$2</f>
        <v>6836.2563513599998</v>
      </c>
      <c r="S58" s="118">
        <f>P58+R58</f>
        <v>9242.4260168080127</v>
      </c>
    </row>
    <row r="59" spans="1:19" x14ac:dyDescent="0.2">
      <c r="A59" s="120"/>
      <c r="B59" s="123">
        <v>47484</v>
      </c>
      <c r="C59" s="119">
        <f t="shared" si="6"/>
        <v>222333.84791690798</v>
      </c>
      <c r="D59" s="119">
        <f t="shared" si="12"/>
        <v>644.76815895903303</v>
      </c>
      <c r="E59" s="119">
        <f t="shared" si="1"/>
        <v>706.23184104096697</v>
      </c>
      <c r="F59" s="119">
        <v>1351</v>
      </c>
      <c r="G59" s="120"/>
      <c r="H59" s="120"/>
      <c r="I59" s="119">
        <v>650</v>
      </c>
      <c r="J59" s="119"/>
      <c r="K59" s="119"/>
      <c r="L59" s="119"/>
      <c r="M59" s="119"/>
      <c r="N59" s="119">
        <f t="shared" si="13"/>
        <v>5.2318410409669696</v>
      </c>
      <c r="O59" s="119"/>
      <c r="P59" s="120"/>
      <c r="Q59" s="120"/>
      <c r="R59" s="120"/>
      <c r="S59" s="120"/>
    </row>
    <row r="60" spans="1:19" x14ac:dyDescent="0.2">
      <c r="A60" s="120"/>
      <c r="B60" s="123">
        <v>47515</v>
      </c>
      <c r="C60" s="119">
        <f t="shared" si="6"/>
        <v>221627.616075867</v>
      </c>
      <c r="D60" s="119">
        <f t="shared" si="12"/>
        <v>642.72008662001429</v>
      </c>
      <c r="E60" s="119">
        <f t="shared" si="1"/>
        <v>708.27991337998571</v>
      </c>
      <c r="F60" s="119">
        <v>1351</v>
      </c>
      <c r="G60" s="120"/>
      <c r="H60" s="120"/>
      <c r="I60" s="119">
        <v>650</v>
      </c>
      <c r="J60" s="119"/>
      <c r="K60" s="119"/>
      <c r="L60" s="119"/>
      <c r="M60" s="119"/>
      <c r="N60" s="119">
        <f t="shared" si="13"/>
        <v>7.2799133799857145</v>
      </c>
      <c r="O60" s="119"/>
      <c r="P60" s="120"/>
      <c r="Q60" s="120"/>
      <c r="R60" s="120"/>
      <c r="S60" s="120"/>
    </row>
    <row r="61" spans="1:19" x14ac:dyDescent="0.2">
      <c r="A61" s="120"/>
      <c r="B61" s="123">
        <v>47543</v>
      </c>
      <c r="C61" s="119">
        <f t="shared" si="6"/>
        <v>220919.33616248702</v>
      </c>
      <c r="D61" s="119">
        <f t="shared" si="12"/>
        <v>640.66607487121234</v>
      </c>
      <c r="E61" s="119">
        <f t="shared" si="1"/>
        <v>710.33392512878766</v>
      </c>
      <c r="F61" s="119">
        <v>1351</v>
      </c>
      <c r="G61" s="120"/>
      <c r="H61" s="120"/>
      <c r="I61" s="119">
        <v>650</v>
      </c>
      <c r="J61" s="119"/>
      <c r="K61" s="119"/>
      <c r="L61" s="119"/>
      <c r="M61" s="119"/>
      <c r="N61" s="119">
        <f t="shared" si="13"/>
        <v>9.333925128787655</v>
      </c>
      <c r="O61" s="119"/>
      <c r="P61" s="120"/>
      <c r="Q61" s="120"/>
      <c r="R61" s="120"/>
      <c r="S61" s="120"/>
    </row>
    <row r="62" spans="1:19" x14ac:dyDescent="0.2">
      <c r="A62" s="120"/>
      <c r="B62" s="123">
        <v>47574</v>
      </c>
      <c r="C62" s="119">
        <f t="shared" si="6"/>
        <v>220209.00223735822</v>
      </c>
      <c r="D62" s="119">
        <f t="shared" si="12"/>
        <v>638.60610648833881</v>
      </c>
      <c r="E62" s="119">
        <f t="shared" si="1"/>
        <v>712.39389351166119</v>
      </c>
      <c r="F62" s="119">
        <v>1351</v>
      </c>
      <c r="G62" s="120"/>
      <c r="H62" s="120"/>
      <c r="I62" s="119">
        <v>650</v>
      </c>
      <c r="J62" s="119"/>
      <c r="K62" s="119"/>
      <c r="L62" s="119"/>
      <c r="M62" s="119"/>
      <c r="N62" s="119">
        <f t="shared" si="13"/>
        <v>11.39389351166119</v>
      </c>
      <c r="O62" s="119"/>
      <c r="P62" s="120"/>
      <c r="Q62" s="120"/>
      <c r="R62" s="120"/>
      <c r="S62" s="120"/>
    </row>
    <row r="63" spans="1:19" x14ac:dyDescent="0.2">
      <c r="A63" s="120"/>
      <c r="B63" s="123">
        <v>47604</v>
      </c>
      <c r="C63" s="119">
        <f t="shared" si="6"/>
        <v>219496.60834384654</v>
      </c>
      <c r="D63" s="119">
        <f t="shared" si="12"/>
        <v>636.54016419715492</v>
      </c>
      <c r="E63" s="119">
        <f t="shared" si="1"/>
        <v>714.45983580284508</v>
      </c>
      <c r="F63" s="119">
        <v>1351</v>
      </c>
      <c r="G63" s="120"/>
      <c r="H63" s="120"/>
      <c r="I63" s="119">
        <v>650</v>
      </c>
      <c r="J63" s="119"/>
      <c r="K63" s="119"/>
      <c r="L63" s="119"/>
      <c r="M63" s="119"/>
      <c r="N63" s="119">
        <f t="shared" si="13"/>
        <v>13.459835802845078</v>
      </c>
      <c r="O63" s="119"/>
      <c r="P63" s="120"/>
      <c r="Q63" s="120"/>
      <c r="R63" s="120"/>
      <c r="S63" s="120"/>
    </row>
    <row r="64" spans="1:19" x14ac:dyDescent="0.2">
      <c r="A64" s="120"/>
      <c r="B64" s="123">
        <v>47635</v>
      </c>
      <c r="C64" s="119">
        <f t="shared" si="6"/>
        <v>218782.1485080437</v>
      </c>
      <c r="D64" s="119">
        <f t="shared" si="12"/>
        <v>634.46823067332673</v>
      </c>
      <c r="E64" s="119">
        <f t="shared" si="1"/>
        <v>716.53176932667327</v>
      </c>
      <c r="F64" s="119">
        <v>1351</v>
      </c>
      <c r="G64" s="120"/>
      <c r="H64" s="120"/>
      <c r="I64" s="119">
        <v>650</v>
      </c>
      <c r="J64" s="119"/>
      <c r="K64" s="119"/>
      <c r="L64" s="119"/>
      <c r="M64" s="119"/>
      <c r="N64" s="119">
        <f t="shared" si="13"/>
        <v>15.53176932667327</v>
      </c>
      <c r="O64" s="119"/>
      <c r="P64" s="120"/>
      <c r="Q64" s="120"/>
      <c r="R64" s="120"/>
      <c r="S64" s="120"/>
    </row>
    <row r="65" spans="1:19" x14ac:dyDescent="0.2">
      <c r="A65" s="120"/>
      <c r="B65" s="123">
        <v>47665</v>
      </c>
      <c r="C65" s="119">
        <f t="shared" si="6"/>
        <v>218065.61673871701</v>
      </c>
      <c r="D65" s="119">
        <f t="shared" si="12"/>
        <v>632.39028854227934</v>
      </c>
      <c r="E65" s="119">
        <f t="shared" si="1"/>
        <v>718.60971145772066</v>
      </c>
      <c r="F65" s="119">
        <v>1351</v>
      </c>
      <c r="G65" s="120"/>
      <c r="H65" s="120"/>
      <c r="I65" s="119">
        <v>650</v>
      </c>
      <c r="J65" s="119"/>
      <c r="K65" s="119"/>
      <c r="L65" s="119"/>
      <c r="M65" s="119"/>
      <c r="N65" s="119">
        <f t="shared" si="13"/>
        <v>17.609711457720664</v>
      </c>
      <c r="O65" s="119"/>
      <c r="P65" s="120"/>
      <c r="Q65" s="120"/>
      <c r="R65" s="120"/>
      <c r="S65" s="120"/>
    </row>
    <row r="66" spans="1:19" x14ac:dyDescent="0.2">
      <c r="A66" s="120"/>
      <c r="B66" s="123">
        <v>47696</v>
      </c>
      <c r="C66" s="119">
        <f t="shared" si="6"/>
        <v>217347.0070272593</v>
      </c>
      <c r="D66" s="119">
        <f t="shared" si="12"/>
        <v>630.30632037905195</v>
      </c>
      <c r="E66" s="119">
        <f t="shared" si="1"/>
        <v>720.69367962094805</v>
      </c>
      <c r="F66" s="119">
        <v>1351</v>
      </c>
      <c r="G66" s="120"/>
      <c r="H66" s="120"/>
      <c r="I66" s="119">
        <v>650</v>
      </c>
      <c r="J66" s="119"/>
      <c r="K66" s="119"/>
      <c r="L66" s="119"/>
      <c r="M66" s="119"/>
      <c r="N66" s="119">
        <f t="shared" si="13"/>
        <v>19.693679620948046</v>
      </c>
      <c r="O66" s="119"/>
      <c r="P66" s="120"/>
      <c r="Q66" s="120"/>
      <c r="R66" s="120"/>
      <c r="S66" s="120"/>
    </row>
    <row r="67" spans="1:19" x14ac:dyDescent="0.2">
      <c r="A67" s="120"/>
      <c r="B67" s="123">
        <v>47726</v>
      </c>
      <c r="C67" s="119">
        <f t="shared" ref="C67" si="14">C66-E66</f>
        <v>216626.31334763835</v>
      </c>
      <c r="D67" s="119">
        <v>0</v>
      </c>
      <c r="E67" s="119">
        <v>0</v>
      </c>
      <c r="F67" s="119">
        <v>0</v>
      </c>
      <c r="G67" s="119">
        <f>'Haushalt (Cash)'!$G$28</f>
        <v>10000</v>
      </c>
      <c r="H67" s="119"/>
      <c r="I67" s="119"/>
      <c r="J67" s="119"/>
      <c r="K67" s="119"/>
      <c r="L67" s="119"/>
      <c r="M67" s="119"/>
      <c r="N67" s="119">
        <f>D67-G67</f>
        <v>-10000</v>
      </c>
      <c r="O67" s="119"/>
      <c r="P67" s="120"/>
      <c r="Q67" s="120"/>
      <c r="R67" s="120"/>
      <c r="S67" s="120"/>
    </row>
    <row r="68" spans="1:19" x14ac:dyDescent="0.2">
      <c r="A68" s="120"/>
      <c r="B68" s="123">
        <v>47727</v>
      </c>
      <c r="C68" s="119">
        <f>C67-G67</f>
        <v>206626.31334763835</v>
      </c>
      <c r="D68" s="119">
        <f t="shared" ref="D68:D79" si="15">(C68*T$2)/12</f>
        <v>599.21630870815113</v>
      </c>
      <c r="E68" s="119">
        <f t="shared" si="1"/>
        <v>751.78369129184887</v>
      </c>
      <c r="F68" s="119">
        <v>1351</v>
      </c>
      <c r="G68" s="120"/>
      <c r="H68" s="120"/>
      <c r="I68" s="119">
        <v>650</v>
      </c>
      <c r="J68" s="119"/>
      <c r="K68" s="119"/>
      <c r="L68" s="119"/>
      <c r="M68" s="119"/>
      <c r="N68" s="119">
        <f t="shared" ref="N68:N79" si="16">I68-D68</f>
        <v>50.783691291848868</v>
      </c>
      <c r="O68" s="119"/>
      <c r="P68" s="120"/>
      <c r="Q68" s="120"/>
      <c r="R68" s="120"/>
      <c r="S68" s="120"/>
    </row>
    <row r="69" spans="1:19" x14ac:dyDescent="0.2">
      <c r="A69" s="120"/>
      <c r="B69" s="123">
        <v>47757</v>
      </c>
      <c r="C69" s="119">
        <f t="shared" si="6"/>
        <v>205874.52965634651</v>
      </c>
      <c r="D69" s="119">
        <f t="shared" si="15"/>
        <v>597.03613600340486</v>
      </c>
      <c r="E69" s="119">
        <f t="shared" si="1"/>
        <v>753.96386399659514</v>
      </c>
      <c r="F69" s="119">
        <v>1351</v>
      </c>
      <c r="G69" s="120"/>
      <c r="H69" s="120"/>
      <c r="I69" s="119">
        <v>650</v>
      </c>
      <c r="J69" s="119"/>
      <c r="K69" s="119"/>
      <c r="L69" s="119"/>
      <c r="M69" s="119"/>
      <c r="N69" s="119">
        <f t="shared" si="16"/>
        <v>52.963863996595137</v>
      </c>
      <c r="O69" s="119"/>
      <c r="P69" s="120"/>
      <c r="Q69" s="120"/>
      <c r="R69" s="120"/>
      <c r="S69" s="120"/>
    </row>
    <row r="70" spans="1:19" x14ac:dyDescent="0.2">
      <c r="A70" s="120"/>
      <c r="B70" s="123">
        <v>47788</v>
      </c>
      <c r="C70" s="119">
        <f t="shared" si="6"/>
        <v>205120.56579234992</v>
      </c>
      <c r="D70" s="119">
        <f t="shared" si="15"/>
        <v>594.84964079781469</v>
      </c>
      <c r="E70" s="119">
        <f t="shared" si="1"/>
        <v>756.15035920218531</v>
      </c>
      <c r="F70" s="119">
        <v>1351</v>
      </c>
      <c r="G70" s="120"/>
      <c r="H70" s="120"/>
      <c r="I70" s="119">
        <v>650</v>
      </c>
      <c r="J70" s="119"/>
      <c r="K70" s="119"/>
      <c r="L70" s="119"/>
      <c r="M70" s="119"/>
      <c r="N70" s="119">
        <f t="shared" si="16"/>
        <v>55.150359202185314</v>
      </c>
      <c r="O70" s="119"/>
      <c r="P70" s="120"/>
      <c r="Q70" s="120"/>
      <c r="R70" s="120"/>
      <c r="S70" s="120"/>
    </row>
    <row r="71" spans="1:19" s="3" customFormat="1" x14ac:dyDescent="0.2">
      <c r="A71" s="117">
        <v>5</v>
      </c>
      <c r="B71" s="121">
        <v>47818</v>
      </c>
      <c r="C71" s="118">
        <f t="shared" si="6"/>
        <v>204364.41543314775</v>
      </c>
      <c r="D71" s="118">
        <f t="shared" si="15"/>
        <v>592.65680475612839</v>
      </c>
      <c r="E71" s="118">
        <f t="shared" si="1"/>
        <v>758.34319524387161</v>
      </c>
      <c r="F71" s="118">
        <v>1351</v>
      </c>
      <c r="G71" s="117"/>
      <c r="H71" s="117"/>
      <c r="I71" s="118">
        <v>650</v>
      </c>
      <c r="J71" s="118">
        <f>SUM(E59:E71)+G67</f>
        <v>18727.775679004091</v>
      </c>
      <c r="K71" s="118">
        <f>SUM(I59:I71)-SUM(D59:D71)</f>
        <v>315.77567900409031</v>
      </c>
      <c r="L71" s="118">
        <v>230</v>
      </c>
      <c r="M71" s="118">
        <v>2500</v>
      </c>
      <c r="N71" s="118">
        <f t="shared" si="16"/>
        <v>57.343195243871605</v>
      </c>
      <c r="O71" s="118">
        <f>SUM(N59:N71)+L71+M71</f>
        <v>-6954.2243209959124</v>
      </c>
      <c r="P71" s="118">
        <f>K71+L71+M71</f>
        <v>3045.7756790040903</v>
      </c>
      <c r="Q71" s="122">
        <f>P71/J71</f>
        <v>0.16263413932380352</v>
      </c>
      <c r="R71" s="118">
        <f>(C$222 +R19 +R32+R45+ R58) * W$2</f>
        <v>6959.3089656844804</v>
      </c>
      <c r="S71" s="118">
        <f>P71+R71</f>
        <v>10005.08464468857</v>
      </c>
    </row>
    <row r="72" spans="1:19" x14ac:dyDescent="0.2">
      <c r="A72" s="120"/>
      <c r="B72" s="123">
        <v>47849</v>
      </c>
      <c r="C72" s="119">
        <f t="shared" si="6"/>
        <v>203606.07223790386</v>
      </c>
      <c r="D72" s="119">
        <f t="shared" si="15"/>
        <v>590.4576094899212</v>
      </c>
      <c r="E72" s="119">
        <f t="shared" si="1"/>
        <v>760.5423905100788</v>
      </c>
      <c r="F72" s="119">
        <v>1351</v>
      </c>
      <c r="G72" s="120"/>
      <c r="H72" s="120"/>
      <c r="I72" s="119">
        <v>650</v>
      </c>
      <c r="J72" s="119"/>
      <c r="K72" s="119"/>
      <c r="L72" s="119"/>
      <c r="M72" s="119"/>
      <c r="N72" s="119">
        <f t="shared" si="16"/>
        <v>59.542390510078803</v>
      </c>
      <c r="O72" s="119"/>
      <c r="P72" s="120"/>
      <c r="Q72" s="120"/>
      <c r="R72" s="120"/>
      <c r="S72" s="120"/>
    </row>
    <row r="73" spans="1:19" x14ac:dyDescent="0.2">
      <c r="A73" s="120"/>
      <c r="B73" s="123">
        <v>47880</v>
      </c>
      <c r="C73" s="119">
        <f t="shared" si="6"/>
        <v>202845.52984739377</v>
      </c>
      <c r="D73" s="119">
        <f t="shared" si="15"/>
        <v>588.2520365574419</v>
      </c>
      <c r="E73" s="119">
        <f t="shared" si="1"/>
        <v>762.7479634425581</v>
      </c>
      <c r="F73" s="119">
        <v>1351</v>
      </c>
      <c r="G73" s="120"/>
      <c r="H73" s="120"/>
      <c r="I73" s="119">
        <v>650</v>
      </c>
      <c r="J73" s="119"/>
      <c r="K73" s="119"/>
      <c r="L73" s="119"/>
      <c r="M73" s="119"/>
      <c r="N73" s="119">
        <f t="shared" si="16"/>
        <v>61.747963442558103</v>
      </c>
      <c r="O73" s="119"/>
      <c r="P73" s="120"/>
      <c r="Q73" s="120"/>
      <c r="R73" s="120"/>
      <c r="S73" s="120"/>
    </row>
    <row r="74" spans="1:19" x14ac:dyDescent="0.2">
      <c r="A74" s="120"/>
      <c r="B74" s="123">
        <v>47908</v>
      </c>
      <c r="C74" s="119">
        <f t="shared" si="6"/>
        <v>202082.78188395122</v>
      </c>
      <c r="D74" s="119">
        <f t="shared" si="15"/>
        <v>586.04006746345851</v>
      </c>
      <c r="E74" s="119">
        <f t="shared" si="1"/>
        <v>764.95993253654149</v>
      </c>
      <c r="F74" s="119">
        <v>1351</v>
      </c>
      <c r="G74" s="120"/>
      <c r="H74" s="120"/>
      <c r="I74" s="119">
        <v>650</v>
      </c>
      <c r="J74" s="119"/>
      <c r="K74" s="119"/>
      <c r="L74" s="119"/>
      <c r="M74" s="119"/>
      <c r="N74" s="119">
        <f t="shared" si="16"/>
        <v>63.959932536541487</v>
      </c>
      <c r="O74" s="119"/>
      <c r="P74" s="120"/>
      <c r="Q74" s="120"/>
      <c r="R74" s="120"/>
      <c r="S74" s="120"/>
    </row>
    <row r="75" spans="1:19" x14ac:dyDescent="0.2">
      <c r="A75" s="120"/>
      <c r="B75" s="123">
        <v>47939</v>
      </c>
      <c r="C75" s="119">
        <f t="shared" si="6"/>
        <v>201317.82195141469</v>
      </c>
      <c r="D75" s="119">
        <f t="shared" si="15"/>
        <v>583.82168365910263</v>
      </c>
      <c r="E75" s="119">
        <f t="shared" si="1"/>
        <v>767.17831634089737</v>
      </c>
      <c r="F75" s="119">
        <v>1351</v>
      </c>
      <c r="G75" s="120"/>
      <c r="H75" s="120"/>
      <c r="I75" s="119">
        <v>650</v>
      </c>
      <c r="J75" s="119"/>
      <c r="K75" s="119"/>
      <c r="L75" s="119"/>
      <c r="M75" s="119"/>
      <c r="N75" s="119">
        <f t="shared" si="16"/>
        <v>66.178316340897368</v>
      </c>
      <c r="O75" s="119"/>
      <c r="P75" s="120"/>
      <c r="Q75" s="120"/>
      <c r="R75" s="120"/>
      <c r="S75" s="120"/>
    </row>
    <row r="76" spans="1:19" x14ac:dyDescent="0.2">
      <c r="A76" s="120"/>
      <c r="B76" s="123">
        <v>47969</v>
      </c>
      <c r="C76" s="119">
        <f t="shared" si="6"/>
        <v>200550.64363507379</v>
      </c>
      <c r="D76" s="119">
        <f t="shared" si="15"/>
        <v>581.59686654171389</v>
      </c>
      <c r="E76" s="119">
        <f t="shared" si="1"/>
        <v>769.40313345828611</v>
      </c>
      <c r="F76" s="119">
        <v>1351</v>
      </c>
      <c r="G76" s="120"/>
      <c r="H76" s="120"/>
      <c r="I76" s="119">
        <v>650</v>
      </c>
      <c r="J76" s="119"/>
      <c r="K76" s="119"/>
      <c r="L76" s="119"/>
      <c r="M76" s="119"/>
      <c r="N76" s="119">
        <f t="shared" si="16"/>
        <v>68.403133458286106</v>
      </c>
      <c r="O76" s="119"/>
      <c r="P76" s="120"/>
      <c r="Q76" s="120"/>
      <c r="R76" s="120"/>
      <c r="S76" s="120"/>
    </row>
    <row r="77" spans="1:19" x14ac:dyDescent="0.2">
      <c r="A77" s="120"/>
      <c r="B77" s="123">
        <v>48000</v>
      </c>
      <c r="C77" s="119">
        <f t="shared" si="6"/>
        <v>199781.24050161551</v>
      </c>
      <c r="D77" s="119">
        <f t="shared" si="15"/>
        <v>579.36559745468492</v>
      </c>
      <c r="E77" s="119">
        <f t="shared" si="1"/>
        <v>771.63440254531508</v>
      </c>
      <c r="F77" s="119">
        <v>1351</v>
      </c>
      <c r="G77" s="120"/>
      <c r="H77" s="120"/>
      <c r="I77" s="119">
        <v>650</v>
      </c>
      <c r="J77" s="119"/>
      <c r="K77" s="119"/>
      <c r="L77" s="119"/>
      <c r="M77" s="119"/>
      <c r="N77" s="119">
        <f t="shared" si="16"/>
        <v>70.634402545315083</v>
      </c>
      <c r="O77" s="119"/>
      <c r="P77" s="120"/>
      <c r="Q77" s="120"/>
      <c r="R77" s="120"/>
      <c r="S77" s="120"/>
    </row>
    <row r="78" spans="1:19" x14ac:dyDescent="0.2">
      <c r="A78" s="120"/>
      <c r="B78" s="123">
        <v>48030</v>
      </c>
      <c r="C78" s="119">
        <f t="shared" si="6"/>
        <v>199009.6060990702</v>
      </c>
      <c r="D78" s="119">
        <f t="shared" si="15"/>
        <v>577.1278576873035</v>
      </c>
      <c r="E78" s="119">
        <f t="shared" si="1"/>
        <v>773.8721423126965</v>
      </c>
      <c r="F78" s="119">
        <v>1351</v>
      </c>
      <c r="G78" s="120"/>
      <c r="H78" s="120"/>
      <c r="I78" s="119">
        <v>650</v>
      </c>
      <c r="J78" s="119"/>
      <c r="K78" s="119"/>
      <c r="L78" s="119"/>
      <c r="M78" s="119"/>
      <c r="N78" s="119">
        <f t="shared" si="16"/>
        <v>72.872142312696496</v>
      </c>
      <c r="O78" s="119"/>
      <c r="P78" s="120"/>
      <c r="Q78" s="120"/>
      <c r="R78" s="120"/>
      <c r="S78" s="120"/>
    </row>
    <row r="79" spans="1:19" x14ac:dyDescent="0.2">
      <c r="A79" s="120"/>
      <c r="B79" s="123">
        <v>48061</v>
      </c>
      <c r="C79" s="119">
        <f t="shared" si="6"/>
        <v>198235.7339567575</v>
      </c>
      <c r="D79" s="119">
        <f t="shared" si="15"/>
        <v>574.88362847459666</v>
      </c>
      <c r="E79" s="119">
        <f t="shared" si="1"/>
        <v>776.11637152540334</v>
      </c>
      <c r="F79" s="119">
        <v>1351</v>
      </c>
      <c r="G79" s="120"/>
      <c r="H79" s="120"/>
      <c r="I79" s="119">
        <v>650</v>
      </c>
      <c r="J79" s="119"/>
      <c r="K79" s="119"/>
      <c r="L79" s="119"/>
      <c r="M79" s="119"/>
      <c r="N79" s="119">
        <f t="shared" si="16"/>
        <v>75.116371525403338</v>
      </c>
      <c r="O79" s="119"/>
      <c r="P79" s="120"/>
      <c r="Q79" s="120"/>
      <c r="R79" s="120"/>
      <c r="S79" s="120"/>
    </row>
    <row r="80" spans="1:19" x14ac:dyDescent="0.2">
      <c r="A80" s="120"/>
      <c r="B80" s="123">
        <v>48091</v>
      </c>
      <c r="C80" s="119">
        <f t="shared" si="6"/>
        <v>197459.6175852321</v>
      </c>
      <c r="D80" s="119">
        <v>0</v>
      </c>
      <c r="E80" s="119">
        <v>0</v>
      </c>
      <c r="F80" s="119">
        <v>0</v>
      </c>
      <c r="G80" s="119">
        <f>'Haushalt (Cash)'!$G$28</f>
        <v>10000</v>
      </c>
      <c r="H80" s="119"/>
      <c r="I80" s="119"/>
      <c r="J80" s="119"/>
      <c r="K80" s="119"/>
      <c r="L80" s="119"/>
      <c r="M80" s="119"/>
      <c r="N80" s="119">
        <f>D80-G80</f>
        <v>-10000</v>
      </c>
      <c r="O80" s="119"/>
      <c r="P80" s="120"/>
      <c r="Q80" s="120"/>
      <c r="R80" s="120"/>
      <c r="S80" s="120"/>
    </row>
    <row r="81" spans="1:19" x14ac:dyDescent="0.2">
      <c r="A81" s="120"/>
      <c r="B81" s="123">
        <v>48092</v>
      </c>
      <c r="C81" s="119">
        <f>MAX(0,C80-G80)</f>
        <v>187459.6175852321</v>
      </c>
      <c r="D81" s="119">
        <f t="shared" ref="D81:D92" si="17">(C81*T$2)/12</f>
        <v>543.63289099717304</v>
      </c>
      <c r="E81" s="119">
        <f t="shared" ref="E81:E149" si="18">F81-D81</f>
        <v>807.36710900282696</v>
      </c>
      <c r="F81" s="119">
        <f t="shared" ref="F81:F92" si="19">IF(C81=0,0,1351)</f>
        <v>1351</v>
      </c>
      <c r="G81" s="120"/>
      <c r="H81" s="120"/>
      <c r="I81" s="119">
        <v>650</v>
      </c>
      <c r="J81" s="119"/>
      <c r="K81" s="119"/>
      <c r="L81" s="119"/>
      <c r="M81" s="119"/>
      <c r="N81" s="119">
        <f t="shared" ref="N81:N92" si="20">I81-D81</f>
        <v>106.36710900282696</v>
      </c>
      <c r="O81" s="119"/>
      <c r="P81" s="120"/>
      <c r="Q81" s="120"/>
      <c r="R81" s="120"/>
      <c r="S81" s="120"/>
    </row>
    <row r="82" spans="1:19" x14ac:dyDescent="0.2">
      <c r="A82" s="120"/>
      <c r="B82" s="123">
        <v>48122</v>
      </c>
      <c r="C82" s="119">
        <f t="shared" si="6"/>
        <v>186652.25047622927</v>
      </c>
      <c r="D82" s="119">
        <f t="shared" si="17"/>
        <v>541.29152638106484</v>
      </c>
      <c r="E82" s="119">
        <f t="shared" si="18"/>
        <v>809.70847361893516</v>
      </c>
      <c r="F82" s="119">
        <f t="shared" si="19"/>
        <v>1351</v>
      </c>
      <c r="G82" s="120"/>
      <c r="H82" s="120"/>
      <c r="I82" s="119">
        <v>650</v>
      </c>
      <c r="J82" s="119"/>
      <c r="K82" s="119"/>
      <c r="L82" s="119"/>
      <c r="M82" s="119"/>
      <c r="N82" s="119">
        <f t="shared" si="20"/>
        <v>108.70847361893516</v>
      </c>
      <c r="O82" s="119"/>
      <c r="P82" s="120"/>
      <c r="Q82" s="120"/>
      <c r="R82" s="120"/>
      <c r="S82" s="120"/>
    </row>
    <row r="83" spans="1:19" x14ac:dyDescent="0.2">
      <c r="A83" s="120"/>
      <c r="B83" s="123">
        <v>48153</v>
      </c>
      <c r="C83" s="119">
        <f t="shared" si="6"/>
        <v>185842.54200261034</v>
      </c>
      <c r="D83" s="119">
        <f t="shared" si="17"/>
        <v>538.94337180756997</v>
      </c>
      <c r="E83" s="119">
        <f t="shared" si="18"/>
        <v>812.05662819243003</v>
      </c>
      <c r="F83" s="119">
        <f t="shared" si="19"/>
        <v>1351</v>
      </c>
      <c r="G83" s="120"/>
      <c r="H83" s="120"/>
      <c r="I83" s="119">
        <v>650</v>
      </c>
      <c r="J83" s="119"/>
      <c r="K83" s="119"/>
      <c r="L83" s="119"/>
      <c r="M83" s="119"/>
      <c r="N83" s="119">
        <f t="shared" si="20"/>
        <v>111.05662819243003</v>
      </c>
      <c r="O83" s="119"/>
      <c r="P83" s="120"/>
      <c r="Q83" s="120"/>
      <c r="R83" s="120"/>
      <c r="S83" s="120"/>
    </row>
    <row r="84" spans="1:19" s="3" customFormat="1" x14ac:dyDescent="0.2">
      <c r="A84" s="117">
        <v>6</v>
      </c>
      <c r="B84" s="121">
        <v>48183</v>
      </c>
      <c r="C84" s="118">
        <f t="shared" si="6"/>
        <v>185030.48537441791</v>
      </c>
      <c r="D84" s="118">
        <f t="shared" si="17"/>
        <v>536.58840758581198</v>
      </c>
      <c r="E84" s="118">
        <f t="shared" si="18"/>
        <v>814.41159241418802</v>
      </c>
      <c r="F84" s="118">
        <f t="shared" si="19"/>
        <v>1351</v>
      </c>
      <c r="G84" s="117"/>
      <c r="H84" s="117"/>
      <c r="I84" s="118">
        <v>650</v>
      </c>
      <c r="J84" s="118">
        <f>SUM(E72:E84)+G80</f>
        <v>19389.998455900157</v>
      </c>
      <c r="K84" s="118">
        <f>SUM(I72:I84)-SUM(D72:D84)</f>
        <v>977.99845590015775</v>
      </c>
      <c r="L84" s="118">
        <v>230</v>
      </c>
      <c r="M84" s="118">
        <v>2500</v>
      </c>
      <c r="N84" s="118">
        <f t="shared" si="20"/>
        <v>113.41159241418802</v>
      </c>
      <c r="O84" s="118">
        <f>SUM(N72:N84)+L84+M84</f>
        <v>-6292.0015440998432</v>
      </c>
      <c r="P84" s="118">
        <f>K84+L84+M84</f>
        <v>3707.9984559001578</v>
      </c>
      <c r="Q84" s="122">
        <f>P84/J84</f>
        <v>0.19123252971543461</v>
      </c>
      <c r="R84" s="118">
        <f>(C$222 +R19 +R32 +R45+R58+ R71) * W$2</f>
        <v>7084.5765270668007</v>
      </c>
      <c r="S84" s="118">
        <f>P84+R84</f>
        <v>10792.574982966958</v>
      </c>
    </row>
    <row r="85" spans="1:19" x14ac:dyDescent="0.2">
      <c r="A85" s="120"/>
      <c r="B85" s="123">
        <v>48214</v>
      </c>
      <c r="C85" s="119">
        <f t="shared" si="6"/>
        <v>184216.07378200372</v>
      </c>
      <c r="D85" s="119">
        <f t="shared" si="17"/>
        <v>534.22661396781075</v>
      </c>
      <c r="E85" s="119">
        <f t="shared" si="18"/>
        <v>816.77338603218925</v>
      </c>
      <c r="F85" s="119">
        <f t="shared" si="19"/>
        <v>1351</v>
      </c>
      <c r="G85" s="120"/>
      <c r="H85" s="120"/>
      <c r="I85" s="119">
        <v>650</v>
      </c>
      <c r="J85" s="119"/>
      <c r="K85" s="119"/>
      <c r="L85" s="119"/>
      <c r="M85" s="119"/>
      <c r="N85" s="119">
        <f t="shared" si="20"/>
        <v>115.77338603218925</v>
      </c>
      <c r="O85" s="119"/>
      <c r="P85" s="120"/>
      <c r="Q85" s="120"/>
      <c r="R85" s="120"/>
      <c r="S85" s="120"/>
    </row>
    <row r="86" spans="1:19" x14ac:dyDescent="0.2">
      <c r="A86" s="120"/>
      <c r="B86" s="123">
        <v>48245</v>
      </c>
      <c r="C86" s="119">
        <f t="shared" si="6"/>
        <v>183399.30039597154</v>
      </c>
      <c r="D86" s="119">
        <f t="shared" si="17"/>
        <v>531.85797114831746</v>
      </c>
      <c r="E86" s="119">
        <f t="shared" si="18"/>
        <v>819.14202885168254</v>
      </c>
      <c r="F86" s="119">
        <f t="shared" si="19"/>
        <v>1351</v>
      </c>
      <c r="G86" s="120"/>
      <c r="H86" s="120"/>
      <c r="I86" s="119">
        <v>650</v>
      </c>
      <c r="J86" s="119"/>
      <c r="K86" s="119"/>
      <c r="L86" s="119"/>
      <c r="M86" s="119"/>
      <c r="N86" s="119">
        <f t="shared" si="20"/>
        <v>118.14202885168254</v>
      </c>
      <c r="O86" s="119"/>
      <c r="P86" s="120"/>
      <c r="Q86" s="120"/>
      <c r="R86" s="120"/>
      <c r="S86" s="120"/>
    </row>
    <row r="87" spans="1:19" x14ac:dyDescent="0.2">
      <c r="A87" s="120"/>
      <c r="B87" s="123">
        <v>48274</v>
      </c>
      <c r="C87" s="119">
        <f t="shared" si="6"/>
        <v>182580.15836711985</v>
      </c>
      <c r="D87" s="119">
        <f t="shared" si="17"/>
        <v>529.48245926464745</v>
      </c>
      <c r="E87" s="119">
        <f t="shared" si="18"/>
        <v>821.51754073535255</v>
      </c>
      <c r="F87" s="119">
        <f t="shared" si="19"/>
        <v>1351</v>
      </c>
      <c r="G87" s="120"/>
      <c r="H87" s="120"/>
      <c r="I87" s="119">
        <v>650</v>
      </c>
      <c r="J87" s="119"/>
      <c r="K87" s="119"/>
      <c r="L87" s="119"/>
      <c r="M87" s="119"/>
      <c r="N87" s="119">
        <f t="shared" si="20"/>
        <v>120.51754073535255</v>
      </c>
      <c r="O87" s="119"/>
      <c r="P87" s="120"/>
      <c r="Q87" s="120"/>
      <c r="R87" s="120"/>
      <c r="S87" s="120"/>
    </row>
    <row r="88" spans="1:19" x14ac:dyDescent="0.2">
      <c r="A88" s="120"/>
      <c r="B88" s="123">
        <v>48305</v>
      </c>
      <c r="C88" s="119">
        <f t="shared" si="6"/>
        <v>181758.64082638451</v>
      </c>
      <c r="D88" s="119">
        <f t="shared" si="17"/>
        <v>527.10005839651501</v>
      </c>
      <c r="E88" s="119">
        <f t="shared" si="18"/>
        <v>823.89994160348499</v>
      </c>
      <c r="F88" s="119">
        <f t="shared" si="19"/>
        <v>1351</v>
      </c>
      <c r="G88" s="120"/>
      <c r="H88" s="120"/>
      <c r="I88" s="119">
        <v>650</v>
      </c>
      <c r="J88" s="119"/>
      <c r="K88" s="119"/>
      <c r="L88" s="119"/>
      <c r="M88" s="119"/>
      <c r="N88" s="119">
        <f t="shared" si="20"/>
        <v>122.89994160348499</v>
      </c>
      <c r="O88" s="119"/>
      <c r="P88" s="120"/>
      <c r="Q88" s="120"/>
      <c r="R88" s="120"/>
      <c r="S88" s="120"/>
    </row>
    <row r="89" spans="1:19" x14ac:dyDescent="0.2">
      <c r="A89" s="120"/>
      <c r="B89" s="123">
        <v>48335</v>
      </c>
      <c r="C89" s="119">
        <f t="shared" si="6"/>
        <v>180934.74088478103</v>
      </c>
      <c r="D89" s="119">
        <f t="shared" si="17"/>
        <v>524.71074856586495</v>
      </c>
      <c r="E89" s="119">
        <f t="shared" si="18"/>
        <v>826.28925143413505</v>
      </c>
      <c r="F89" s="119">
        <f t="shared" si="19"/>
        <v>1351</v>
      </c>
      <c r="G89" s="120"/>
      <c r="H89" s="120"/>
      <c r="I89" s="119">
        <v>650</v>
      </c>
      <c r="J89" s="119"/>
      <c r="K89" s="119"/>
      <c r="L89" s="119"/>
      <c r="M89" s="119"/>
      <c r="N89" s="119">
        <f t="shared" si="20"/>
        <v>125.28925143413505</v>
      </c>
      <c r="O89" s="119"/>
      <c r="P89" s="120"/>
      <c r="Q89" s="120"/>
      <c r="R89" s="120"/>
      <c r="S89" s="120"/>
    </row>
    <row r="90" spans="1:19" x14ac:dyDescent="0.2">
      <c r="A90" s="120"/>
      <c r="B90" s="123">
        <v>48366</v>
      </c>
      <c r="C90" s="119">
        <f t="shared" ref="C90:C106" si="21">C89-E89</f>
        <v>180108.45163334691</v>
      </c>
      <c r="D90" s="119">
        <f t="shared" si="17"/>
        <v>522.31450973670599</v>
      </c>
      <c r="E90" s="119">
        <f t="shared" si="18"/>
        <v>828.68549026329401</v>
      </c>
      <c r="F90" s="119">
        <f t="shared" si="19"/>
        <v>1351</v>
      </c>
      <c r="G90" s="120"/>
      <c r="H90" s="120"/>
      <c r="I90" s="119">
        <v>650</v>
      </c>
      <c r="J90" s="119"/>
      <c r="K90" s="119"/>
      <c r="L90" s="119"/>
      <c r="M90" s="119"/>
      <c r="N90" s="119">
        <f t="shared" si="20"/>
        <v>127.68549026329401</v>
      </c>
      <c r="O90" s="119"/>
      <c r="P90" s="120"/>
      <c r="Q90" s="120"/>
      <c r="R90" s="120"/>
      <c r="S90" s="120"/>
    </row>
    <row r="91" spans="1:19" x14ac:dyDescent="0.2">
      <c r="A91" s="120"/>
      <c r="B91" s="123">
        <v>48396</v>
      </c>
      <c r="C91" s="119">
        <f t="shared" si="21"/>
        <v>179279.7661430836</v>
      </c>
      <c r="D91" s="119">
        <f t="shared" si="17"/>
        <v>519.91132181494243</v>
      </c>
      <c r="E91" s="119">
        <f t="shared" si="18"/>
        <v>831.08867818505757</v>
      </c>
      <c r="F91" s="119">
        <f t="shared" si="19"/>
        <v>1351</v>
      </c>
      <c r="G91" s="120"/>
      <c r="H91" s="120"/>
      <c r="I91" s="119">
        <v>650</v>
      </c>
      <c r="J91" s="119"/>
      <c r="K91" s="119"/>
      <c r="L91" s="119"/>
      <c r="M91" s="119"/>
      <c r="N91" s="119">
        <f t="shared" si="20"/>
        <v>130.08867818505757</v>
      </c>
      <c r="O91" s="119"/>
      <c r="P91" s="120"/>
      <c r="Q91" s="120"/>
      <c r="R91" s="120"/>
      <c r="S91" s="120"/>
    </row>
    <row r="92" spans="1:19" x14ac:dyDescent="0.2">
      <c r="A92" s="120"/>
      <c r="B92" s="123">
        <v>48427</v>
      </c>
      <c r="C92" s="119">
        <f t="shared" si="21"/>
        <v>178448.67746489853</v>
      </c>
      <c r="D92" s="119">
        <f t="shared" si="17"/>
        <v>517.50116464820564</v>
      </c>
      <c r="E92" s="119">
        <f t="shared" si="18"/>
        <v>833.49883535179436</v>
      </c>
      <c r="F92" s="119">
        <f t="shared" si="19"/>
        <v>1351</v>
      </c>
      <c r="G92" s="120"/>
      <c r="H92" s="120"/>
      <c r="I92" s="119">
        <v>650</v>
      </c>
      <c r="J92" s="119"/>
      <c r="K92" s="119"/>
      <c r="L92" s="119"/>
      <c r="M92" s="119"/>
      <c r="N92" s="119">
        <f t="shared" si="20"/>
        <v>132.49883535179436</v>
      </c>
      <c r="O92" s="119"/>
      <c r="P92" s="120"/>
      <c r="Q92" s="120"/>
      <c r="R92" s="120"/>
      <c r="S92" s="120"/>
    </row>
    <row r="93" spans="1:19" x14ac:dyDescent="0.2">
      <c r="A93" s="120"/>
      <c r="B93" s="123">
        <v>48457</v>
      </c>
      <c r="C93" s="119">
        <f t="shared" si="21"/>
        <v>177615.17862954675</v>
      </c>
      <c r="D93" s="119">
        <v>0</v>
      </c>
      <c r="E93" s="119">
        <v>0</v>
      </c>
      <c r="F93" s="119">
        <v>0</v>
      </c>
      <c r="G93" s="119">
        <f>'Haushalt (Cash)'!$G$28</f>
        <v>10000</v>
      </c>
      <c r="H93" s="119"/>
      <c r="I93" s="119"/>
      <c r="J93" s="119"/>
      <c r="K93" s="119"/>
      <c r="L93" s="119"/>
      <c r="M93" s="119"/>
      <c r="N93" s="119">
        <f>D93-G93</f>
        <v>-10000</v>
      </c>
      <c r="O93" s="119"/>
      <c r="P93" s="120"/>
      <c r="Q93" s="120"/>
      <c r="R93" s="120"/>
      <c r="S93" s="120"/>
    </row>
    <row r="94" spans="1:19" x14ac:dyDescent="0.2">
      <c r="A94" s="120"/>
      <c r="B94" s="123">
        <v>48458</v>
      </c>
      <c r="C94" s="119">
        <f>MAX(0,C93-G93)</f>
        <v>167615.17862954675</v>
      </c>
      <c r="D94" s="119">
        <f t="shared" ref="D94:D105" si="22">(C94*T$2)/12</f>
        <v>486.08401802568551</v>
      </c>
      <c r="E94" s="119">
        <f t="shared" si="18"/>
        <v>864.91598197431449</v>
      </c>
      <c r="F94" s="119">
        <f t="shared" ref="F94:F105" si="23">IF(C94=0,0,1351)</f>
        <v>1351</v>
      </c>
      <c r="G94" s="120"/>
      <c r="H94" s="120"/>
      <c r="I94" s="119">
        <v>650</v>
      </c>
      <c r="J94" s="119"/>
      <c r="K94" s="119"/>
      <c r="L94" s="119"/>
      <c r="M94" s="119"/>
      <c r="N94" s="119">
        <f t="shared" ref="N94:N105" si="24">I94-D94</f>
        <v>163.91598197431449</v>
      </c>
      <c r="O94" s="119"/>
      <c r="P94" s="120"/>
      <c r="Q94" s="120"/>
      <c r="R94" s="120"/>
      <c r="S94" s="120"/>
    </row>
    <row r="95" spans="1:19" x14ac:dyDescent="0.2">
      <c r="A95" s="120"/>
      <c r="B95" s="123">
        <v>48488</v>
      </c>
      <c r="C95" s="119">
        <f t="shared" si="21"/>
        <v>166750.26264757244</v>
      </c>
      <c r="D95" s="119">
        <f t="shared" si="22"/>
        <v>483.57576167796009</v>
      </c>
      <c r="E95" s="119">
        <f t="shared" si="18"/>
        <v>867.42423832203986</v>
      </c>
      <c r="F95" s="119">
        <f t="shared" si="23"/>
        <v>1351</v>
      </c>
      <c r="G95" s="120"/>
      <c r="H95" s="120"/>
      <c r="I95" s="119">
        <v>650</v>
      </c>
      <c r="J95" s="119"/>
      <c r="K95" s="119"/>
      <c r="L95" s="119"/>
      <c r="M95" s="119"/>
      <c r="N95" s="119">
        <f t="shared" si="24"/>
        <v>166.42423832203991</v>
      </c>
      <c r="O95" s="119"/>
      <c r="P95" s="120"/>
      <c r="Q95" s="120"/>
      <c r="R95" s="120"/>
      <c r="S95" s="120"/>
    </row>
    <row r="96" spans="1:19" x14ac:dyDescent="0.2">
      <c r="A96" s="120"/>
      <c r="B96" s="123">
        <v>48519</v>
      </c>
      <c r="C96" s="119">
        <f t="shared" si="21"/>
        <v>165882.8384092504</v>
      </c>
      <c r="D96" s="119">
        <f t="shared" si="22"/>
        <v>481.06023138682616</v>
      </c>
      <c r="E96" s="119">
        <f t="shared" si="18"/>
        <v>869.93976861317378</v>
      </c>
      <c r="F96" s="119">
        <f t="shared" si="23"/>
        <v>1351</v>
      </c>
      <c r="G96" s="120"/>
      <c r="H96" s="120"/>
      <c r="I96" s="119">
        <v>650</v>
      </c>
      <c r="J96" s="119"/>
      <c r="K96" s="119"/>
      <c r="L96" s="119"/>
      <c r="M96" s="119"/>
      <c r="N96" s="119">
        <f t="shared" si="24"/>
        <v>168.93976861317384</v>
      </c>
      <c r="O96" s="119"/>
      <c r="P96" s="120"/>
      <c r="Q96" s="120"/>
      <c r="R96" s="120"/>
      <c r="S96" s="120"/>
    </row>
    <row r="97" spans="1:19" s="3" customFormat="1" x14ac:dyDescent="0.2">
      <c r="A97" s="117">
        <v>7</v>
      </c>
      <c r="B97" s="121">
        <v>48549</v>
      </c>
      <c r="C97" s="118">
        <f t="shared" ref="C97:C160" si="25">MAX(0,C96-E96)</f>
        <v>165012.89864063723</v>
      </c>
      <c r="D97" s="118">
        <f t="shared" si="22"/>
        <v>478.53740605784793</v>
      </c>
      <c r="E97" s="118">
        <f t="shared" si="18"/>
        <v>872.46259394215213</v>
      </c>
      <c r="F97" s="118">
        <f t="shared" si="23"/>
        <v>1351</v>
      </c>
      <c r="G97" s="117"/>
      <c r="H97" s="117"/>
      <c r="I97" s="118">
        <v>650</v>
      </c>
      <c r="J97" s="118">
        <f>SUM(E85:E97)+G93</f>
        <v>20075.637735308672</v>
      </c>
      <c r="K97" s="118">
        <f>SUM(I85:I97)-SUM(D85:D97)</f>
        <v>1663.6377353086709</v>
      </c>
      <c r="L97" s="118">
        <v>230</v>
      </c>
      <c r="M97" s="118">
        <v>2500</v>
      </c>
      <c r="N97" s="118">
        <f t="shared" si="24"/>
        <v>171.46259394215207</v>
      </c>
      <c r="O97" s="118">
        <f>SUM(N85:N97)+L97+M97</f>
        <v>-5606.3622646913282</v>
      </c>
      <c r="P97" s="118">
        <f>K97+L97+M97</f>
        <v>4393.6377353086709</v>
      </c>
      <c r="Q97" s="122">
        <f>P97/J97</f>
        <v>0.21885420494419561</v>
      </c>
      <c r="R97" s="118">
        <f>(C$222 +R19+R32 +R45 +R58+R71+ R84) * W$2</f>
        <v>7212.0989045540036</v>
      </c>
      <c r="S97" s="118">
        <f>P97+R97</f>
        <v>11605.736639862675</v>
      </c>
    </row>
    <row r="98" spans="1:19" x14ac:dyDescent="0.2">
      <c r="A98" s="120"/>
      <c r="B98" s="123">
        <v>48580</v>
      </c>
      <c r="C98" s="119">
        <f t="shared" si="25"/>
        <v>164140.43604669507</v>
      </c>
      <c r="D98" s="119">
        <f t="shared" si="22"/>
        <v>476.00726453541569</v>
      </c>
      <c r="E98" s="119">
        <f t="shared" si="18"/>
        <v>874.99273546458426</v>
      </c>
      <c r="F98" s="119">
        <f t="shared" si="23"/>
        <v>1351</v>
      </c>
      <c r="G98" s="120"/>
      <c r="H98" s="120"/>
      <c r="I98" s="119">
        <v>650</v>
      </c>
      <c r="J98" s="119"/>
      <c r="K98" s="119"/>
      <c r="L98" s="119"/>
      <c r="M98" s="119"/>
      <c r="N98" s="119">
        <f t="shared" si="24"/>
        <v>173.99273546458431</v>
      </c>
      <c r="O98" s="119"/>
      <c r="P98" s="120"/>
      <c r="Q98" s="120"/>
      <c r="R98" s="120"/>
      <c r="S98" s="120"/>
    </row>
    <row r="99" spans="1:19" x14ac:dyDescent="0.2">
      <c r="A99" s="120"/>
      <c r="B99" s="123">
        <v>48611</v>
      </c>
      <c r="C99" s="119">
        <f t="shared" si="25"/>
        <v>163265.44331123048</v>
      </c>
      <c r="D99" s="119">
        <f t="shared" si="22"/>
        <v>473.46978560256838</v>
      </c>
      <c r="E99" s="119">
        <f t="shared" si="18"/>
        <v>877.53021439743156</v>
      </c>
      <c r="F99" s="119">
        <f t="shared" si="23"/>
        <v>1351</v>
      </c>
      <c r="G99" s="120"/>
      <c r="H99" s="120"/>
      <c r="I99" s="119">
        <v>650</v>
      </c>
      <c r="J99" s="119"/>
      <c r="K99" s="119"/>
      <c r="L99" s="119"/>
      <c r="M99" s="119"/>
      <c r="N99" s="119">
        <f t="shared" si="24"/>
        <v>176.53021439743162</v>
      </c>
      <c r="O99" s="119"/>
      <c r="P99" s="120"/>
      <c r="Q99" s="120"/>
      <c r="R99" s="120"/>
      <c r="S99" s="120"/>
    </row>
    <row r="100" spans="1:19" x14ac:dyDescent="0.2">
      <c r="A100" s="120"/>
      <c r="B100" s="123">
        <v>48639</v>
      </c>
      <c r="C100" s="119">
        <f t="shared" si="25"/>
        <v>162387.91309683304</v>
      </c>
      <c r="D100" s="119">
        <f t="shared" si="22"/>
        <v>470.92494798081583</v>
      </c>
      <c r="E100" s="119">
        <f t="shared" si="18"/>
        <v>880.07505201918411</v>
      </c>
      <c r="F100" s="119">
        <f t="shared" si="23"/>
        <v>1351</v>
      </c>
      <c r="G100" s="120"/>
      <c r="H100" s="120"/>
      <c r="I100" s="119">
        <v>650</v>
      </c>
      <c r="J100" s="119"/>
      <c r="K100" s="119"/>
      <c r="L100" s="119"/>
      <c r="M100" s="119"/>
      <c r="N100" s="119">
        <f>I100-D100</f>
        <v>179.07505201918417</v>
      </c>
      <c r="O100" s="119"/>
      <c r="P100" s="120"/>
      <c r="Q100" s="120"/>
      <c r="R100" s="120"/>
      <c r="S100" s="120"/>
    </row>
    <row r="101" spans="1:19" x14ac:dyDescent="0.2">
      <c r="A101" s="120"/>
      <c r="B101" s="123">
        <v>48670</v>
      </c>
      <c r="C101" s="119">
        <f t="shared" si="25"/>
        <v>161507.83804481386</v>
      </c>
      <c r="D101" s="119">
        <f t="shared" si="22"/>
        <v>468.37273032996018</v>
      </c>
      <c r="E101" s="119">
        <f t="shared" si="18"/>
        <v>882.62726967003982</v>
      </c>
      <c r="F101" s="119">
        <f t="shared" si="23"/>
        <v>1351</v>
      </c>
      <c r="G101" s="120"/>
      <c r="H101" s="120"/>
      <c r="I101" s="119">
        <v>650</v>
      </c>
      <c r="J101" s="119"/>
      <c r="K101" s="119"/>
      <c r="L101" s="119"/>
      <c r="M101" s="119"/>
      <c r="N101" s="119">
        <f t="shared" si="24"/>
        <v>181.62726967003982</v>
      </c>
      <c r="O101" s="119"/>
      <c r="P101" s="120"/>
      <c r="Q101" s="120"/>
      <c r="R101" s="120"/>
      <c r="S101" s="120"/>
    </row>
    <row r="102" spans="1:19" x14ac:dyDescent="0.2">
      <c r="A102" s="120"/>
      <c r="B102" s="123">
        <v>48700</v>
      </c>
      <c r="C102" s="119">
        <f t="shared" si="25"/>
        <v>160625.21077514382</v>
      </c>
      <c r="D102" s="119">
        <f t="shared" si="22"/>
        <v>465.81311124791705</v>
      </c>
      <c r="E102" s="119">
        <f t="shared" si="18"/>
        <v>885.18688875208295</v>
      </c>
      <c r="F102" s="119">
        <f t="shared" si="23"/>
        <v>1351</v>
      </c>
      <c r="G102" s="120"/>
      <c r="H102" s="120"/>
      <c r="I102" s="119">
        <v>650</v>
      </c>
      <c r="J102" s="119"/>
      <c r="K102" s="119"/>
      <c r="L102" s="119"/>
      <c r="M102" s="119"/>
      <c r="N102" s="119">
        <f t="shared" si="24"/>
        <v>184.18688875208295</v>
      </c>
      <c r="O102" s="119"/>
      <c r="P102" s="120"/>
      <c r="Q102" s="120"/>
      <c r="R102" s="120"/>
      <c r="S102" s="120"/>
    </row>
    <row r="103" spans="1:19" x14ac:dyDescent="0.2">
      <c r="A103" s="120"/>
      <c r="B103" s="123">
        <v>48731</v>
      </c>
      <c r="C103" s="119">
        <f t="shared" si="25"/>
        <v>159740.02388639175</v>
      </c>
      <c r="D103" s="119">
        <f t="shared" si="22"/>
        <v>463.24606927053605</v>
      </c>
      <c r="E103" s="119">
        <f t="shared" si="18"/>
        <v>887.75393072946395</v>
      </c>
      <c r="F103" s="119">
        <f t="shared" si="23"/>
        <v>1351</v>
      </c>
      <c r="G103" s="120"/>
      <c r="H103" s="120"/>
      <c r="I103" s="119">
        <v>650</v>
      </c>
      <c r="J103" s="119"/>
      <c r="K103" s="119"/>
      <c r="L103" s="119"/>
      <c r="M103" s="119"/>
      <c r="N103" s="119">
        <f t="shared" si="24"/>
        <v>186.75393072946395</v>
      </c>
      <c r="O103" s="119"/>
      <c r="P103" s="120"/>
      <c r="Q103" s="120"/>
      <c r="R103" s="120"/>
      <c r="S103" s="120"/>
    </row>
    <row r="104" spans="1:19" x14ac:dyDescent="0.2">
      <c r="A104" s="120"/>
      <c r="B104" s="123">
        <v>48761</v>
      </c>
      <c r="C104" s="119">
        <f t="shared" si="25"/>
        <v>158852.26995566228</v>
      </c>
      <c r="D104" s="119">
        <f t="shared" si="22"/>
        <v>460.67158287142064</v>
      </c>
      <c r="E104" s="119">
        <f t="shared" si="18"/>
        <v>890.3284171285793</v>
      </c>
      <c r="F104" s="119">
        <f t="shared" si="23"/>
        <v>1351</v>
      </c>
      <c r="G104" s="120"/>
      <c r="H104" s="120"/>
      <c r="I104" s="119">
        <v>650</v>
      </c>
      <c r="J104" s="119"/>
      <c r="K104" s="119"/>
      <c r="L104" s="119"/>
      <c r="M104" s="119"/>
      <c r="N104" s="119">
        <f t="shared" si="24"/>
        <v>189.32841712857936</v>
      </c>
      <c r="O104" s="119"/>
      <c r="P104" s="120"/>
      <c r="Q104" s="120"/>
      <c r="R104" s="120"/>
      <c r="S104" s="120"/>
    </row>
    <row r="105" spans="1:19" x14ac:dyDescent="0.2">
      <c r="A105" s="120"/>
      <c r="B105" s="123">
        <v>48792</v>
      </c>
      <c r="C105" s="119">
        <f t="shared" si="25"/>
        <v>157961.94153853369</v>
      </c>
      <c r="D105" s="119">
        <f t="shared" si="22"/>
        <v>458.08963046174767</v>
      </c>
      <c r="E105" s="119">
        <f t="shared" si="18"/>
        <v>892.91036953825233</v>
      </c>
      <c r="F105" s="119">
        <f t="shared" si="23"/>
        <v>1351</v>
      </c>
      <c r="G105" s="120"/>
      <c r="H105" s="120"/>
      <c r="I105" s="119">
        <v>650</v>
      </c>
      <c r="J105" s="119"/>
      <c r="K105" s="119"/>
      <c r="L105" s="119"/>
      <c r="M105" s="119"/>
      <c r="N105" s="119">
        <f t="shared" si="24"/>
        <v>191.91036953825233</v>
      </c>
      <c r="O105" s="119"/>
      <c r="P105" s="120"/>
      <c r="Q105" s="120"/>
      <c r="R105" s="120"/>
      <c r="S105" s="120"/>
    </row>
    <row r="106" spans="1:19" x14ac:dyDescent="0.2">
      <c r="A106" s="120"/>
      <c r="B106" s="123">
        <v>48822</v>
      </c>
      <c r="C106" s="119">
        <f t="shared" si="21"/>
        <v>157069.03116899543</v>
      </c>
      <c r="D106" s="119">
        <v>0</v>
      </c>
      <c r="E106" s="119">
        <v>0</v>
      </c>
      <c r="F106" s="119">
        <v>0</v>
      </c>
      <c r="G106" s="119">
        <f>'Haushalt (Cash)'!$G$28</f>
        <v>10000</v>
      </c>
      <c r="H106" s="119"/>
      <c r="I106" s="119"/>
      <c r="J106" s="119"/>
      <c r="K106" s="119"/>
      <c r="L106" s="119"/>
      <c r="M106" s="119"/>
      <c r="N106" s="119">
        <f>D106-G106</f>
        <v>-10000</v>
      </c>
      <c r="O106" s="119"/>
      <c r="P106" s="120"/>
      <c r="Q106" s="120"/>
      <c r="R106" s="120"/>
      <c r="S106" s="120"/>
    </row>
    <row r="107" spans="1:19" x14ac:dyDescent="0.2">
      <c r="A107" s="120"/>
      <c r="B107" s="123">
        <v>48823</v>
      </c>
      <c r="C107" s="119">
        <f>MAX(0,C106-G106)</f>
        <v>147069.03116899543</v>
      </c>
      <c r="D107" s="119">
        <f t="shared" ref="D107:D118" si="26">(C107*T$2)/12</f>
        <v>426.50019039008674</v>
      </c>
      <c r="E107" s="119">
        <f t="shared" si="18"/>
        <v>924.4998096099132</v>
      </c>
      <c r="F107" s="119">
        <f t="shared" ref="F107:F118" si="27">IF(C107=0,0,1351)</f>
        <v>1351</v>
      </c>
      <c r="G107" s="120"/>
      <c r="H107" s="120"/>
      <c r="I107" s="119">
        <v>650</v>
      </c>
      <c r="J107" s="119"/>
      <c r="K107" s="119"/>
      <c r="L107" s="119"/>
      <c r="M107" s="119"/>
      <c r="N107" s="119">
        <f t="shared" ref="N107:N118" si="28">I107-D107</f>
        <v>223.49980960991326</v>
      </c>
      <c r="O107" s="119"/>
      <c r="P107" s="120"/>
      <c r="Q107" s="120"/>
      <c r="R107" s="120"/>
      <c r="S107" s="120"/>
    </row>
    <row r="108" spans="1:19" x14ac:dyDescent="0.2">
      <c r="A108" s="120"/>
      <c r="B108" s="123">
        <v>48853</v>
      </c>
      <c r="C108" s="119">
        <f t="shared" si="25"/>
        <v>146144.53135938552</v>
      </c>
      <c r="D108" s="119">
        <f t="shared" si="26"/>
        <v>423.81914094221798</v>
      </c>
      <c r="E108" s="119">
        <f t="shared" si="18"/>
        <v>927.18085905778207</v>
      </c>
      <c r="F108" s="119">
        <f t="shared" si="27"/>
        <v>1351</v>
      </c>
      <c r="G108" s="120"/>
      <c r="H108" s="120"/>
      <c r="I108" s="119">
        <v>650</v>
      </c>
      <c r="J108" s="119"/>
      <c r="K108" s="119"/>
      <c r="L108" s="119"/>
      <c r="M108" s="119"/>
      <c r="N108" s="119">
        <f t="shared" si="28"/>
        <v>226.18085905778202</v>
      </c>
      <c r="O108" s="119"/>
      <c r="P108" s="120"/>
      <c r="Q108" s="120"/>
      <c r="R108" s="120"/>
      <c r="S108" s="120"/>
    </row>
    <row r="109" spans="1:19" x14ac:dyDescent="0.2">
      <c r="A109" s="120"/>
      <c r="B109" s="123">
        <v>48884</v>
      </c>
      <c r="C109" s="119">
        <f t="shared" si="25"/>
        <v>145217.35050032774</v>
      </c>
      <c r="D109" s="119">
        <f t="shared" si="26"/>
        <v>421.13031645095043</v>
      </c>
      <c r="E109" s="119">
        <f t="shared" si="18"/>
        <v>929.86968354904957</v>
      </c>
      <c r="F109" s="119">
        <f t="shared" si="27"/>
        <v>1351</v>
      </c>
      <c r="G109" s="120"/>
      <c r="H109" s="120"/>
      <c r="I109" s="119">
        <v>650</v>
      </c>
      <c r="J109" s="119"/>
      <c r="K109" s="119"/>
      <c r="L109" s="119"/>
      <c r="M109" s="119"/>
      <c r="N109" s="119">
        <f t="shared" si="28"/>
        <v>228.86968354904957</v>
      </c>
      <c r="O109" s="119"/>
      <c r="P109" s="120"/>
      <c r="Q109" s="120"/>
      <c r="R109" s="120"/>
      <c r="S109" s="120"/>
    </row>
    <row r="110" spans="1:19" s="3" customFormat="1" x14ac:dyDescent="0.2">
      <c r="A110" s="117">
        <v>8</v>
      </c>
      <c r="B110" s="121">
        <v>48914</v>
      </c>
      <c r="C110" s="118">
        <f t="shared" si="25"/>
        <v>144287.4808167787</v>
      </c>
      <c r="D110" s="118">
        <f t="shared" si="26"/>
        <v>418.43369436865822</v>
      </c>
      <c r="E110" s="118">
        <f t="shared" si="18"/>
        <v>932.56630563134172</v>
      </c>
      <c r="F110" s="118">
        <f t="shared" si="27"/>
        <v>1351</v>
      </c>
      <c r="G110" s="117"/>
      <c r="H110" s="117"/>
      <c r="I110" s="118">
        <v>650</v>
      </c>
      <c r="J110" s="118">
        <f>SUM(E98:E110)+G106</f>
        <v>20785.521535547705</v>
      </c>
      <c r="K110" s="118">
        <f>SUM(I98:I110)-SUM(D98:D110)</f>
        <v>2373.5215355477039</v>
      </c>
      <c r="L110" s="118">
        <v>230</v>
      </c>
      <c r="M110" s="118">
        <v>2500</v>
      </c>
      <c r="N110" s="118">
        <f t="shared" si="28"/>
        <v>231.56630563134178</v>
      </c>
      <c r="O110" s="118">
        <f>SUM(N98:N110)+L110+M110</f>
        <v>-4896.4784644522942</v>
      </c>
      <c r="P110" s="118">
        <f>K110+L110+M110</f>
        <v>5103.5215355477039</v>
      </c>
      <c r="Q110" s="122">
        <f>P110/J110</f>
        <v>0.24553252256959665</v>
      </c>
      <c r="R110" s="118">
        <f>(C$222 +R19 +R32+R45 +R58 +R71+R84+ R97) * W$2</f>
        <v>7341.9166848359755</v>
      </c>
      <c r="S110" s="118">
        <f>P110+R110</f>
        <v>12445.438220383679</v>
      </c>
    </row>
    <row r="111" spans="1:19" x14ac:dyDescent="0.2">
      <c r="A111" s="120"/>
      <c r="B111" s="123">
        <v>48945</v>
      </c>
      <c r="C111" s="119">
        <f t="shared" si="25"/>
        <v>143354.91451114736</v>
      </c>
      <c r="D111" s="119">
        <f t="shared" si="26"/>
        <v>415.72925208232732</v>
      </c>
      <c r="E111" s="119">
        <f t="shared" si="18"/>
        <v>935.27074791767268</v>
      </c>
      <c r="F111" s="119">
        <f t="shared" si="27"/>
        <v>1351</v>
      </c>
      <c r="G111" s="120"/>
      <c r="H111" s="120"/>
      <c r="I111" s="119">
        <v>650</v>
      </c>
      <c r="J111" s="119"/>
      <c r="K111" s="119"/>
      <c r="L111" s="119"/>
      <c r="M111" s="119"/>
      <c r="N111" s="119">
        <f t="shared" si="28"/>
        <v>234.27074791767268</v>
      </c>
      <c r="O111" s="119"/>
      <c r="P111" s="120"/>
      <c r="Q111" s="120"/>
      <c r="R111" s="120"/>
      <c r="S111" s="120"/>
    </row>
    <row r="112" spans="1:19" x14ac:dyDescent="0.2">
      <c r="A112" s="120"/>
      <c r="B112" s="123">
        <v>48976</v>
      </c>
      <c r="C112" s="119">
        <f t="shared" si="25"/>
        <v>142419.64376322969</v>
      </c>
      <c r="D112" s="119">
        <f t="shared" si="26"/>
        <v>413.01696691336605</v>
      </c>
      <c r="E112" s="119">
        <f t="shared" si="18"/>
        <v>937.9830330866339</v>
      </c>
      <c r="F112" s="119">
        <f t="shared" si="27"/>
        <v>1351</v>
      </c>
      <c r="G112" s="120"/>
      <c r="H112" s="120"/>
      <c r="I112" s="119">
        <v>650</v>
      </c>
      <c r="J112" s="119"/>
      <c r="K112" s="119"/>
      <c r="L112" s="119"/>
      <c r="M112" s="119"/>
      <c r="N112" s="119">
        <f t="shared" si="28"/>
        <v>236.98303308663395</v>
      </c>
      <c r="O112" s="119"/>
      <c r="P112" s="120"/>
      <c r="Q112" s="120"/>
      <c r="R112" s="120"/>
      <c r="S112" s="120"/>
    </row>
    <row r="113" spans="1:19" x14ac:dyDescent="0.2">
      <c r="A113" s="120"/>
      <c r="B113" s="123">
        <v>49004</v>
      </c>
      <c r="C113" s="119">
        <f t="shared" si="25"/>
        <v>141481.66073014305</v>
      </c>
      <c r="D113" s="119">
        <f t="shared" si="26"/>
        <v>410.29681611741483</v>
      </c>
      <c r="E113" s="119">
        <f t="shared" si="18"/>
        <v>940.70318388258511</v>
      </c>
      <c r="F113" s="119">
        <f t="shared" si="27"/>
        <v>1351</v>
      </c>
      <c r="G113" s="120"/>
      <c r="H113" s="120"/>
      <c r="I113" s="119">
        <v>650</v>
      </c>
      <c r="J113" s="119"/>
      <c r="K113" s="119"/>
      <c r="L113" s="119"/>
      <c r="M113" s="119"/>
      <c r="N113" s="119">
        <f t="shared" si="28"/>
        <v>239.70318388258517</v>
      </c>
      <c r="O113" s="119"/>
      <c r="P113" s="120"/>
      <c r="Q113" s="120"/>
      <c r="R113" s="120"/>
      <c r="S113" s="120"/>
    </row>
    <row r="114" spans="1:19" x14ac:dyDescent="0.2">
      <c r="A114" s="120"/>
      <c r="B114" s="123">
        <v>49035</v>
      </c>
      <c r="C114" s="119">
        <f t="shared" si="25"/>
        <v>140540.95754626047</v>
      </c>
      <c r="D114" s="119">
        <f t="shared" si="26"/>
        <v>407.56877688415534</v>
      </c>
      <c r="E114" s="119">
        <f t="shared" si="18"/>
        <v>943.43122311584466</v>
      </c>
      <c r="F114" s="119">
        <f t="shared" si="27"/>
        <v>1351</v>
      </c>
      <c r="G114" s="120"/>
      <c r="H114" s="120"/>
      <c r="I114" s="119">
        <v>650</v>
      </c>
      <c r="J114" s="119"/>
      <c r="K114" s="119"/>
      <c r="L114" s="119"/>
      <c r="M114" s="119"/>
      <c r="N114" s="119">
        <f t="shared" si="28"/>
        <v>242.43122311584466</v>
      </c>
      <c r="O114" s="119"/>
      <c r="P114" s="120"/>
      <c r="Q114" s="120"/>
      <c r="R114" s="120"/>
      <c r="S114" s="120"/>
    </row>
    <row r="115" spans="1:19" x14ac:dyDescent="0.2">
      <c r="A115" s="120"/>
      <c r="B115" s="123">
        <v>49065</v>
      </c>
      <c r="C115" s="119">
        <f t="shared" si="25"/>
        <v>139597.52632314462</v>
      </c>
      <c r="D115" s="119">
        <f t="shared" si="26"/>
        <v>404.83282633711934</v>
      </c>
      <c r="E115" s="119">
        <f t="shared" si="18"/>
        <v>946.16717366288071</v>
      </c>
      <c r="F115" s="119">
        <f t="shared" si="27"/>
        <v>1351</v>
      </c>
      <c r="G115" s="120"/>
      <c r="H115" s="120"/>
      <c r="I115" s="119">
        <v>650</v>
      </c>
      <c r="J115" s="119"/>
      <c r="K115" s="119"/>
      <c r="L115" s="119"/>
      <c r="M115" s="119"/>
      <c r="N115" s="119">
        <f t="shared" si="28"/>
        <v>245.16717366288066</v>
      </c>
      <c r="O115" s="119"/>
      <c r="P115" s="120"/>
      <c r="Q115" s="120"/>
      <c r="R115" s="120"/>
      <c r="S115" s="120"/>
    </row>
    <row r="116" spans="1:19" x14ac:dyDescent="0.2">
      <c r="A116" s="120"/>
      <c r="B116" s="123">
        <v>49096</v>
      </c>
      <c r="C116" s="119">
        <f t="shared" si="25"/>
        <v>138651.35914948172</v>
      </c>
      <c r="D116" s="119">
        <f t="shared" si="26"/>
        <v>402.08894153349701</v>
      </c>
      <c r="E116" s="119">
        <f t="shared" si="18"/>
        <v>948.91105846650294</v>
      </c>
      <c r="F116" s="119">
        <f t="shared" si="27"/>
        <v>1351</v>
      </c>
      <c r="G116" s="120"/>
      <c r="H116" s="120"/>
      <c r="I116" s="119">
        <v>650</v>
      </c>
      <c r="J116" s="119"/>
      <c r="K116" s="119"/>
      <c r="L116" s="119"/>
      <c r="M116" s="119"/>
      <c r="N116" s="119">
        <f t="shared" si="28"/>
        <v>247.91105846650299</v>
      </c>
      <c r="O116" s="119"/>
      <c r="P116" s="120"/>
      <c r="Q116" s="120"/>
      <c r="R116" s="120"/>
      <c r="S116" s="120"/>
    </row>
    <row r="117" spans="1:19" x14ac:dyDescent="0.2">
      <c r="A117" s="120"/>
      <c r="B117" s="123">
        <v>49126</v>
      </c>
      <c r="C117" s="119">
        <f t="shared" si="25"/>
        <v>137702.44809101522</v>
      </c>
      <c r="D117" s="119">
        <f t="shared" si="26"/>
        <v>399.33709946394407</v>
      </c>
      <c r="E117" s="119">
        <f t="shared" si="18"/>
        <v>951.66290053605599</v>
      </c>
      <c r="F117" s="119">
        <f t="shared" si="27"/>
        <v>1351</v>
      </c>
      <c r="G117" s="120"/>
      <c r="H117" s="120"/>
      <c r="I117" s="119">
        <v>650</v>
      </c>
      <c r="J117" s="119"/>
      <c r="K117" s="119"/>
      <c r="L117" s="119"/>
      <c r="M117" s="119"/>
      <c r="N117" s="119">
        <f t="shared" si="28"/>
        <v>250.66290053605593</v>
      </c>
      <c r="O117" s="119"/>
      <c r="P117" s="120"/>
      <c r="Q117" s="120"/>
      <c r="R117" s="120"/>
      <c r="S117" s="120"/>
    </row>
    <row r="118" spans="1:19" x14ac:dyDescent="0.2">
      <c r="A118" s="120"/>
      <c r="B118" s="123">
        <v>49157</v>
      </c>
      <c r="C118" s="119">
        <f t="shared" si="25"/>
        <v>136750.78519047916</v>
      </c>
      <c r="D118" s="119">
        <f t="shared" si="26"/>
        <v>396.57727705238955</v>
      </c>
      <c r="E118" s="119">
        <f t="shared" si="18"/>
        <v>954.42272294761051</v>
      </c>
      <c r="F118" s="119">
        <f t="shared" si="27"/>
        <v>1351</v>
      </c>
      <c r="G118" s="120"/>
      <c r="H118" s="120"/>
      <c r="I118" s="119">
        <v>650</v>
      </c>
      <c r="J118" s="119"/>
      <c r="K118" s="119"/>
      <c r="L118" s="119"/>
      <c r="M118" s="119"/>
      <c r="N118" s="119">
        <f t="shared" si="28"/>
        <v>253.42272294761045</v>
      </c>
      <c r="O118" s="119"/>
      <c r="P118" s="120"/>
      <c r="Q118" s="120"/>
      <c r="R118" s="120"/>
      <c r="S118" s="120"/>
    </row>
    <row r="119" spans="1:19" x14ac:dyDescent="0.2">
      <c r="A119" s="120"/>
      <c r="B119" s="123">
        <v>49187</v>
      </c>
      <c r="C119" s="119">
        <f t="shared" si="25"/>
        <v>135796.36246753155</v>
      </c>
      <c r="D119" s="119">
        <v>0</v>
      </c>
      <c r="E119" s="119">
        <v>0</v>
      </c>
      <c r="F119" s="119">
        <v>0</v>
      </c>
      <c r="G119" s="119">
        <f>'Haushalt (Cash)'!$G$28</f>
        <v>10000</v>
      </c>
      <c r="H119" s="119"/>
      <c r="I119" s="119"/>
      <c r="J119" s="119"/>
      <c r="K119" s="119"/>
      <c r="L119" s="119"/>
      <c r="M119" s="119"/>
      <c r="N119" s="119">
        <f>D119-G119</f>
        <v>-10000</v>
      </c>
      <c r="O119" s="119"/>
      <c r="P119" s="120"/>
      <c r="Q119" s="120"/>
      <c r="R119" s="120"/>
      <c r="S119" s="120"/>
    </row>
    <row r="120" spans="1:19" x14ac:dyDescent="0.2">
      <c r="A120" s="120"/>
      <c r="B120" s="123">
        <v>49188</v>
      </c>
      <c r="C120" s="119">
        <f>MAX(0,C119-G119)</f>
        <v>125796.36246753155</v>
      </c>
      <c r="D120" s="119">
        <f t="shared" ref="D120:D131" si="29">(C120*T$2)/12</f>
        <v>364.80945115584149</v>
      </c>
      <c r="E120" s="119">
        <f t="shared" si="18"/>
        <v>986.19054884415846</v>
      </c>
      <c r="F120" s="119">
        <f t="shared" ref="F120:F131" si="30">IF(C120=0,0,1351)</f>
        <v>1351</v>
      </c>
      <c r="G120" s="120"/>
      <c r="H120" s="120"/>
      <c r="I120" s="119">
        <v>650</v>
      </c>
      <c r="J120" s="119"/>
      <c r="K120" s="119"/>
      <c r="L120" s="119"/>
      <c r="M120" s="119"/>
      <c r="N120" s="119">
        <f t="shared" ref="N120:N131" si="31">I120-D120</f>
        <v>285.19054884415851</v>
      </c>
      <c r="O120" s="119"/>
      <c r="P120" s="120"/>
      <c r="Q120" s="120"/>
      <c r="R120" s="120"/>
      <c r="S120" s="120"/>
    </row>
    <row r="121" spans="1:19" x14ac:dyDescent="0.2">
      <c r="A121" s="120"/>
      <c r="B121" s="123">
        <v>49218</v>
      </c>
      <c r="C121" s="119">
        <f t="shared" si="25"/>
        <v>124810.1719186874</v>
      </c>
      <c r="D121" s="119">
        <f t="shared" si="29"/>
        <v>361.94949856419339</v>
      </c>
      <c r="E121" s="119">
        <f t="shared" si="18"/>
        <v>989.05050143580661</v>
      </c>
      <c r="F121" s="119">
        <f t="shared" si="30"/>
        <v>1351</v>
      </c>
      <c r="G121" s="120"/>
      <c r="H121" s="120"/>
      <c r="I121" s="119">
        <v>650</v>
      </c>
      <c r="J121" s="119"/>
      <c r="K121" s="119"/>
      <c r="L121" s="119"/>
      <c r="M121" s="119"/>
      <c r="N121" s="119">
        <f t="shared" si="31"/>
        <v>288.05050143580661</v>
      </c>
      <c r="O121" s="119"/>
      <c r="P121" s="120"/>
      <c r="Q121" s="120"/>
      <c r="R121" s="120"/>
      <c r="S121" s="120"/>
    </row>
    <row r="122" spans="1:19" x14ac:dyDescent="0.2">
      <c r="A122" s="120"/>
      <c r="B122" s="123">
        <v>49249</v>
      </c>
      <c r="C122" s="119">
        <f t="shared" si="25"/>
        <v>123821.12141725159</v>
      </c>
      <c r="D122" s="119">
        <f t="shared" si="29"/>
        <v>359.08125211002954</v>
      </c>
      <c r="E122" s="119">
        <f t="shared" si="18"/>
        <v>991.91874788997052</v>
      </c>
      <c r="F122" s="119">
        <f t="shared" si="30"/>
        <v>1351</v>
      </c>
      <c r="G122" s="120"/>
      <c r="H122" s="120"/>
      <c r="I122" s="119">
        <v>650</v>
      </c>
      <c r="J122" s="119"/>
      <c r="K122" s="119"/>
      <c r="L122" s="119"/>
      <c r="M122" s="119"/>
      <c r="N122" s="119">
        <f t="shared" si="31"/>
        <v>290.91874788997046</v>
      </c>
      <c r="O122" s="119"/>
      <c r="P122" s="120"/>
      <c r="Q122" s="120"/>
      <c r="R122" s="120"/>
      <c r="S122" s="120"/>
    </row>
    <row r="123" spans="1:19" s="3" customFormat="1" x14ac:dyDescent="0.2">
      <c r="A123" s="117">
        <v>9</v>
      </c>
      <c r="B123" s="121">
        <v>49279</v>
      </c>
      <c r="C123" s="118">
        <f t="shared" si="25"/>
        <v>122829.20266936162</v>
      </c>
      <c r="D123" s="118">
        <f t="shared" si="29"/>
        <v>356.20468774114869</v>
      </c>
      <c r="E123" s="118">
        <f t="shared" si="18"/>
        <v>994.79531225885125</v>
      </c>
      <c r="F123" s="118">
        <f t="shared" si="30"/>
        <v>1351</v>
      </c>
      <c r="G123" s="117"/>
      <c r="H123" s="117"/>
      <c r="I123" s="118">
        <v>650</v>
      </c>
      <c r="J123" s="118">
        <f>SUM(E111:E123)+G119</f>
        <v>21520.507154044575</v>
      </c>
      <c r="K123" s="118">
        <f>SUM(I111:I123)-SUM(D111:D123)</f>
        <v>3108.5071540445733</v>
      </c>
      <c r="L123" s="118"/>
      <c r="M123" s="118">
        <v>2500</v>
      </c>
      <c r="N123" s="118">
        <f t="shared" si="31"/>
        <v>293.79531225885131</v>
      </c>
      <c r="O123" s="118">
        <f>SUM(N111:N123)+L123+M123</f>
        <v>-4391.4928459554258</v>
      </c>
      <c r="P123" s="118">
        <f>K123+L123+M123</f>
        <v>5608.5071540445733</v>
      </c>
      <c r="Q123" s="122">
        <f>P123/J123</f>
        <v>0.26061222042299814</v>
      </c>
      <c r="R123" s="118">
        <f>(C$222 +R19+R32 +R45+R58 +R71 +R84+R97+ R110) * W$2</f>
        <v>7474.0711851630231</v>
      </c>
      <c r="S123" s="118">
        <f>P123+R123</f>
        <v>13082.578339207597</v>
      </c>
    </row>
    <row r="124" spans="1:19" x14ac:dyDescent="0.2">
      <c r="A124" s="120"/>
      <c r="B124" s="123">
        <v>49310</v>
      </c>
      <c r="C124" s="119">
        <f t="shared" si="25"/>
        <v>121834.40735710277</v>
      </c>
      <c r="D124" s="119">
        <f t="shared" si="29"/>
        <v>353.31978133559801</v>
      </c>
      <c r="E124" s="119">
        <f t="shared" si="18"/>
        <v>997.68021866440199</v>
      </c>
      <c r="F124" s="119">
        <f t="shared" si="30"/>
        <v>1351</v>
      </c>
      <c r="G124" s="120"/>
      <c r="H124" s="120"/>
      <c r="I124" s="119">
        <v>650</v>
      </c>
      <c r="J124" s="119"/>
      <c r="K124" s="119"/>
      <c r="L124" s="119"/>
      <c r="M124" s="119"/>
      <c r="N124" s="119">
        <f t="shared" si="31"/>
        <v>296.68021866440199</v>
      </c>
      <c r="O124" s="119"/>
      <c r="P124" s="120"/>
      <c r="Q124" s="120"/>
      <c r="R124" s="120"/>
      <c r="S124" s="120"/>
    </row>
    <row r="125" spans="1:19" x14ac:dyDescent="0.2">
      <c r="A125" s="120"/>
      <c r="B125" s="123">
        <v>49341</v>
      </c>
      <c r="C125" s="119">
        <f t="shared" si="25"/>
        <v>120836.72713843836</v>
      </c>
      <c r="D125" s="119">
        <f t="shared" si="29"/>
        <v>350.42650870147122</v>
      </c>
      <c r="E125" s="119">
        <f t="shared" si="18"/>
        <v>1000.5734912985288</v>
      </c>
      <c r="F125" s="119">
        <f t="shared" si="30"/>
        <v>1351</v>
      </c>
      <c r="G125" s="120"/>
      <c r="H125" s="120"/>
      <c r="I125" s="119">
        <v>650</v>
      </c>
      <c r="J125" s="119"/>
      <c r="K125" s="119"/>
      <c r="L125" s="119"/>
      <c r="M125" s="119"/>
      <c r="N125" s="119">
        <f t="shared" si="31"/>
        <v>299.57349129852878</v>
      </c>
      <c r="O125" s="119"/>
      <c r="P125" s="120"/>
      <c r="Q125" s="120"/>
      <c r="R125" s="120"/>
      <c r="S125" s="120"/>
    </row>
    <row r="126" spans="1:19" x14ac:dyDescent="0.2">
      <c r="A126" s="120"/>
      <c r="B126" s="123">
        <v>49369</v>
      </c>
      <c r="C126" s="119">
        <f t="shared" si="25"/>
        <v>119836.15364713983</v>
      </c>
      <c r="D126" s="119">
        <f t="shared" si="29"/>
        <v>347.5248455767055</v>
      </c>
      <c r="E126" s="119">
        <f t="shared" si="18"/>
        <v>1003.4751544232945</v>
      </c>
      <c r="F126" s="119">
        <f t="shared" si="30"/>
        <v>1351</v>
      </c>
      <c r="G126" s="120"/>
      <c r="H126" s="120"/>
      <c r="I126" s="119">
        <v>650</v>
      </c>
      <c r="J126" s="119"/>
      <c r="K126" s="119"/>
      <c r="L126" s="119"/>
      <c r="M126" s="119"/>
      <c r="N126" s="119">
        <f t="shared" si="31"/>
        <v>302.4751544232945</v>
      </c>
      <c r="O126" s="119"/>
      <c r="P126" s="120"/>
      <c r="Q126" s="120"/>
      <c r="R126" s="120"/>
      <c r="S126" s="120"/>
    </row>
    <row r="127" spans="1:19" x14ac:dyDescent="0.2">
      <c r="A127" s="120"/>
      <c r="B127" s="123">
        <v>49400</v>
      </c>
      <c r="C127" s="119">
        <f t="shared" si="25"/>
        <v>118832.67849271653</v>
      </c>
      <c r="D127" s="119">
        <f t="shared" si="29"/>
        <v>344.61476762887787</v>
      </c>
      <c r="E127" s="119">
        <f t="shared" si="18"/>
        <v>1006.3852323711221</v>
      </c>
      <c r="F127" s="119">
        <f t="shared" si="30"/>
        <v>1351</v>
      </c>
      <c r="G127" s="120"/>
      <c r="H127" s="120"/>
      <c r="I127" s="119">
        <v>650</v>
      </c>
      <c r="J127" s="119"/>
      <c r="K127" s="119"/>
      <c r="L127" s="119"/>
      <c r="M127" s="119"/>
      <c r="N127" s="119">
        <f t="shared" si="31"/>
        <v>305.38523237112213</v>
      </c>
      <c r="O127" s="119"/>
      <c r="P127" s="120"/>
      <c r="Q127" s="120"/>
      <c r="R127" s="120"/>
      <c r="S127" s="120"/>
    </row>
    <row r="128" spans="1:19" x14ac:dyDescent="0.2">
      <c r="A128" s="120"/>
      <c r="B128" s="123">
        <v>49430</v>
      </c>
      <c r="C128" s="119">
        <f t="shared" si="25"/>
        <v>117826.29326034541</v>
      </c>
      <c r="D128" s="119">
        <f t="shared" si="29"/>
        <v>341.69625045500169</v>
      </c>
      <c r="E128" s="119">
        <f t="shared" si="18"/>
        <v>1009.3037495449983</v>
      </c>
      <c r="F128" s="119">
        <f t="shared" si="30"/>
        <v>1351</v>
      </c>
      <c r="G128" s="120"/>
      <c r="H128" s="120"/>
      <c r="I128" s="119">
        <v>650</v>
      </c>
      <c r="J128" s="119"/>
      <c r="K128" s="119"/>
      <c r="L128" s="119"/>
      <c r="M128" s="119"/>
      <c r="N128" s="119">
        <f t="shared" si="31"/>
        <v>308.30374954499831</v>
      </c>
      <c r="O128" s="119"/>
      <c r="P128" s="120"/>
      <c r="Q128" s="120"/>
      <c r="R128" s="120"/>
      <c r="S128" s="120"/>
    </row>
    <row r="129" spans="1:19" x14ac:dyDescent="0.2">
      <c r="A129" s="120"/>
      <c r="B129" s="123">
        <v>49461</v>
      </c>
      <c r="C129" s="119">
        <f t="shared" si="25"/>
        <v>116816.98951080041</v>
      </c>
      <c r="D129" s="119">
        <f t="shared" si="29"/>
        <v>338.76926958132117</v>
      </c>
      <c r="E129" s="119">
        <f t="shared" si="18"/>
        <v>1012.2307304186788</v>
      </c>
      <c r="F129" s="119">
        <f t="shared" si="30"/>
        <v>1351</v>
      </c>
      <c r="G129" s="120"/>
      <c r="H129" s="120"/>
      <c r="I129" s="119">
        <v>650</v>
      </c>
      <c r="J129" s="119"/>
      <c r="K129" s="119"/>
      <c r="L129" s="119"/>
      <c r="M129" s="119"/>
      <c r="N129" s="119">
        <f t="shared" si="31"/>
        <v>311.23073041867883</v>
      </c>
      <c r="O129" s="119"/>
      <c r="P129" s="120"/>
      <c r="Q129" s="120"/>
      <c r="R129" s="120"/>
      <c r="S129" s="120"/>
    </row>
    <row r="130" spans="1:19" x14ac:dyDescent="0.2">
      <c r="A130" s="120"/>
      <c r="B130" s="123">
        <v>49491</v>
      </c>
      <c r="C130" s="119">
        <f t="shared" si="25"/>
        <v>115804.75878038173</v>
      </c>
      <c r="D130" s="119">
        <f t="shared" si="29"/>
        <v>335.83380046310702</v>
      </c>
      <c r="E130" s="119">
        <f t="shared" si="18"/>
        <v>1015.1661995368929</v>
      </c>
      <c r="F130" s="119">
        <f t="shared" si="30"/>
        <v>1351</v>
      </c>
      <c r="G130" s="120"/>
      <c r="H130" s="120"/>
      <c r="I130" s="119">
        <v>650</v>
      </c>
      <c r="J130" s="119"/>
      <c r="K130" s="119"/>
      <c r="L130" s="119"/>
      <c r="M130" s="119"/>
      <c r="N130" s="119">
        <f t="shared" si="31"/>
        <v>314.16619953689298</v>
      </c>
      <c r="O130" s="119"/>
      <c r="P130" s="120"/>
      <c r="Q130" s="120"/>
      <c r="R130" s="120"/>
      <c r="S130" s="120"/>
    </row>
    <row r="131" spans="1:19" x14ac:dyDescent="0.2">
      <c r="A131" s="120"/>
      <c r="B131" s="123">
        <v>49522</v>
      </c>
      <c r="C131" s="119">
        <f t="shared" si="25"/>
        <v>114789.59258084484</v>
      </c>
      <c r="D131" s="119">
        <f t="shared" si="29"/>
        <v>332.88981848445002</v>
      </c>
      <c r="E131" s="119">
        <f t="shared" si="18"/>
        <v>1018.11018151555</v>
      </c>
      <c r="F131" s="119">
        <f t="shared" si="30"/>
        <v>1351</v>
      </c>
      <c r="G131" s="120"/>
      <c r="H131" s="120"/>
      <c r="I131" s="119">
        <v>650</v>
      </c>
      <c r="J131" s="119"/>
      <c r="K131" s="119"/>
      <c r="L131" s="119"/>
      <c r="M131" s="119"/>
      <c r="N131" s="119">
        <f t="shared" si="31"/>
        <v>317.11018151554998</v>
      </c>
      <c r="O131" s="119"/>
      <c r="P131" s="120"/>
      <c r="Q131" s="120"/>
      <c r="R131" s="120"/>
      <c r="S131" s="120"/>
    </row>
    <row r="132" spans="1:19" x14ac:dyDescent="0.2">
      <c r="A132" s="120"/>
      <c r="B132" s="123">
        <v>49552</v>
      </c>
      <c r="C132" s="119">
        <f t="shared" si="25"/>
        <v>113771.48239932928</v>
      </c>
      <c r="D132" s="119">
        <v>0</v>
      </c>
      <c r="E132" s="119">
        <v>0</v>
      </c>
      <c r="F132" s="119">
        <v>0</v>
      </c>
      <c r="G132" s="119">
        <f>'Haushalt (Cash)'!$G$28</f>
        <v>10000</v>
      </c>
      <c r="H132" s="119"/>
      <c r="I132" s="119"/>
      <c r="J132" s="119"/>
      <c r="K132" s="119"/>
      <c r="L132" s="119"/>
      <c r="M132" s="119"/>
      <c r="N132" s="119">
        <f>D132-G132</f>
        <v>-10000</v>
      </c>
      <c r="O132" s="119"/>
      <c r="P132" s="120"/>
      <c r="Q132" s="120"/>
      <c r="R132" s="120"/>
      <c r="S132" s="120"/>
    </row>
    <row r="133" spans="1:19" x14ac:dyDescent="0.2">
      <c r="A133" s="120"/>
      <c r="B133" s="123">
        <v>49553</v>
      </c>
      <c r="C133" s="119">
        <f>MAX(0,C132-G132)</f>
        <v>103771.48239932928</v>
      </c>
      <c r="D133" s="119">
        <f t="shared" ref="D133:D144" si="32">(C133*T$2)/12</f>
        <v>300.9372989580549</v>
      </c>
      <c r="E133" s="119">
        <f t="shared" si="18"/>
        <v>1050.062701041945</v>
      </c>
      <c r="F133" s="119">
        <f t="shared" ref="F133:F144" si="33">IF(C133=0,0,1351)</f>
        <v>1351</v>
      </c>
      <c r="G133" s="120"/>
      <c r="H133" s="120"/>
      <c r="I133" s="119">
        <v>650</v>
      </c>
      <c r="J133" s="119"/>
      <c r="K133" s="119"/>
      <c r="L133" s="119"/>
      <c r="M133" s="119"/>
      <c r="N133" s="119">
        <f t="shared" ref="N133:N144" si="34">I133-D133</f>
        <v>349.0627010419451</v>
      </c>
      <c r="O133" s="119"/>
      <c r="P133" s="120"/>
      <c r="Q133" s="120"/>
      <c r="R133" s="120"/>
      <c r="S133" s="120"/>
    </row>
    <row r="134" spans="1:19" x14ac:dyDescent="0.2">
      <c r="A134" s="120"/>
      <c r="B134" s="123">
        <v>49583</v>
      </c>
      <c r="C134" s="119">
        <f t="shared" si="25"/>
        <v>102721.41969828734</v>
      </c>
      <c r="D134" s="119">
        <f t="shared" si="32"/>
        <v>297.89211712503328</v>
      </c>
      <c r="E134" s="119">
        <f t="shared" si="18"/>
        <v>1053.1078828749667</v>
      </c>
      <c r="F134" s="119">
        <f t="shared" si="33"/>
        <v>1351</v>
      </c>
      <c r="G134" s="120"/>
      <c r="H134" s="120"/>
      <c r="I134" s="119">
        <v>650</v>
      </c>
      <c r="J134" s="119"/>
      <c r="K134" s="119"/>
      <c r="L134" s="119"/>
      <c r="M134" s="119"/>
      <c r="N134" s="119">
        <f t="shared" si="34"/>
        <v>352.10788287496672</v>
      </c>
      <c r="O134" s="119"/>
      <c r="P134" s="120"/>
      <c r="Q134" s="120"/>
      <c r="R134" s="120"/>
      <c r="S134" s="120"/>
    </row>
    <row r="135" spans="1:19" x14ac:dyDescent="0.2">
      <c r="A135" s="120"/>
      <c r="B135" s="123">
        <v>49614</v>
      </c>
      <c r="C135" s="119">
        <f t="shared" si="25"/>
        <v>101668.31181541238</v>
      </c>
      <c r="D135" s="119">
        <f t="shared" si="32"/>
        <v>294.83810426469591</v>
      </c>
      <c r="E135" s="119">
        <f t="shared" si="18"/>
        <v>1056.1618957353041</v>
      </c>
      <c r="F135" s="119">
        <f t="shared" si="33"/>
        <v>1351</v>
      </c>
      <c r="G135" s="120"/>
      <c r="H135" s="120"/>
      <c r="I135" s="119">
        <v>650</v>
      </c>
      <c r="J135" s="119"/>
      <c r="K135" s="119"/>
      <c r="L135" s="119"/>
      <c r="M135" s="119"/>
      <c r="N135" s="119">
        <f t="shared" si="34"/>
        <v>355.16189573530409</v>
      </c>
      <c r="O135" s="119"/>
      <c r="P135" s="120"/>
      <c r="Q135" s="120"/>
      <c r="R135" s="120"/>
      <c r="S135" s="120"/>
    </row>
    <row r="136" spans="1:19" s="3" customFormat="1" x14ac:dyDescent="0.2">
      <c r="A136" s="117">
        <v>10</v>
      </c>
      <c r="B136" s="121">
        <v>49644</v>
      </c>
      <c r="C136" s="118">
        <f t="shared" si="25"/>
        <v>100612.14991967707</v>
      </c>
      <c r="D136" s="118">
        <f t="shared" si="32"/>
        <v>291.77523476706352</v>
      </c>
      <c r="E136" s="118">
        <f t="shared" si="18"/>
        <v>1059.2247652329365</v>
      </c>
      <c r="F136" s="118">
        <f t="shared" si="33"/>
        <v>1351</v>
      </c>
      <c r="G136" s="117"/>
      <c r="H136" s="117"/>
      <c r="I136" s="118">
        <v>650</v>
      </c>
      <c r="J136" s="118">
        <f>SUM(E124:E136)+G132</f>
        <v>22281.482202658619</v>
      </c>
      <c r="K136" s="118">
        <f>SUM(I124:I136)-SUM(D124:D136)</f>
        <v>3869.4822026586198</v>
      </c>
      <c r="L136" s="118"/>
      <c r="M136" s="118">
        <v>2500</v>
      </c>
      <c r="N136" s="118">
        <f t="shared" si="34"/>
        <v>358.22476523293648</v>
      </c>
      <c r="O136" s="118">
        <f>SUM(N124:N136)+L136+M136</f>
        <v>-3630.5177973413811</v>
      </c>
      <c r="P136" s="118">
        <f>K136+L136+M136</f>
        <v>6369.4822026586198</v>
      </c>
      <c r="Q136" s="122">
        <f>P136/J136</f>
        <v>0.28586438481631243</v>
      </c>
      <c r="R136" s="118">
        <f>(C$222 +R19+R32+R45 +R58+R71 +R84 +R97+R110+ R123) * W$2</f>
        <v>7608.6044664959581</v>
      </c>
      <c r="S136" s="118">
        <f>P136+R136</f>
        <v>13978.086669154578</v>
      </c>
    </row>
    <row r="137" spans="1:19" x14ac:dyDescent="0.2">
      <c r="A137" s="120"/>
      <c r="B137" s="123">
        <v>49675</v>
      </c>
      <c r="C137" s="119">
        <f t="shared" si="25"/>
        <v>99552.925154444136</v>
      </c>
      <c r="D137" s="119">
        <f t="shared" si="32"/>
        <v>288.70348294788795</v>
      </c>
      <c r="E137" s="119">
        <f t="shared" si="18"/>
        <v>1062.296517052112</v>
      </c>
      <c r="F137" s="119">
        <f t="shared" si="33"/>
        <v>1351</v>
      </c>
      <c r="G137" s="120"/>
      <c r="H137" s="120"/>
      <c r="I137" s="119">
        <v>650</v>
      </c>
      <c r="J137" s="119"/>
      <c r="K137" s="119"/>
      <c r="L137" s="119"/>
      <c r="M137" s="119"/>
      <c r="N137" s="119">
        <f t="shared" si="34"/>
        <v>361.29651705211205</v>
      </c>
      <c r="O137" s="119"/>
      <c r="P137" s="120"/>
      <c r="Q137" s="120"/>
      <c r="R137" s="120"/>
      <c r="S137" s="120"/>
    </row>
    <row r="138" spans="1:19" x14ac:dyDescent="0.2">
      <c r="A138" s="120"/>
      <c r="B138" s="123">
        <v>49706</v>
      </c>
      <c r="C138" s="119">
        <f t="shared" si="25"/>
        <v>98490.62863739203</v>
      </c>
      <c r="D138" s="119">
        <f t="shared" si="32"/>
        <v>285.62282304843689</v>
      </c>
      <c r="E138" s="119">
        <f t="shared" si="18"/>
        <v>1065.3771769515631</v>
      </c>
      <c r="F138" s="119">
        <f t="shared" si="33"/>
        <v>1351</v>
      </c>
      <c r="G138" s="120"/>
      <c r="H138" s="120"/>
      <c r="I138" s="119">
        <v>650</v>
      </c>
      <c r="J138" s="119"/>
      <c r="K138" s="119"/>
      <c r="L138" s="119"/>
      <c r="M138" s="119"/>
      <c r="N138" s="119">
        <f t="shared" si="34"/>
        <v>364.37717695156311</v>
      </c>
      <c r="O138" s="119"/>
      <c r="P138" s="120"/>
      <c r="Q138" s="120"/>
      <c r="R138" s="120"/>
      <c r="S138" s="120"/>
    </row>
    <row r="139" spans="1:19" x14ac:dyDescent="0.2">
      <c r="A139" s="120"/>
      <c r="B139" s="123">
        <v>49735</v>
      </c>
      <c r="C139" s="119">
        <f t="shared" si="25"/>
        <v>97425.251460440471</v>
      </c>
      <c r="D139" s="119">
        <f t="shared" si="32"/>
        <v>282.53322923527736</v>
      </c>
      <c r="E139" s="119">
        <f t="shared" si="18"/>
        <v>1068.4667707647227</v>
      </c>
      <c r="F139" s="119">
        <f t="shared" si="33"/>
        <v>1351</v>
      </c>
      <c r="G139" s="120"/>
      <c r="H139" s="120"/>
      <c r="I139" s="119">
        <v>650</v>
      </c>
      <c r="J139" s="119"/>
      <c r="K139" s="119"/>
      <c r="L139" s="119"/>
      <c r="M139" s="119"/>
      <c r="N139" s="119">
        <f t="shared" si="34"/>
        <v>367.46677076472264</v>
      </c>
      <c r="O139" s="119"/>
      <c r="P139" s="120"/>
      <c r="Q139" s="120"/>
      <c r="R139" s="120"/>
      <c r="S139" s="120"/>
    </row>
    <row r="140" spans="1:19" x14ac:dyDescent="0.2">
      <c r="A140" s="120"/>
      <c r="B140" s="123">
        <v>49766</v>
      </c>
      <c r="C140" s="119">
        <f t="shared" si="25"/>
        <v>96356.784689675755</v>
      </c>
      <c r="D140" s="119">
        <f t="shared" si="32"/>
        <v>279.43467560005968</v>
      </c>
      <c r="E140" s="119">
        <f t="shared" si="18"/>
        <v>1071.5653243999404</v>
      </c>
      <c r="F140" s="119">
        <f t="shared" si="33"/>
        <v>1351</v>
      </c>
      <c r="G140" s="120"/>
      <c r="H140" s="120"/>
      <c r="I140" s="119">
        <v>650</v>
      </c>
      <c r="J140" s="119"/>
      <c r="K140" s="119"/>
      <c r="L140" s="119"/>
      <c r="M140" s="119"/>
      <c r="N140" s="119">
        <f t="shared" si="34"/>
        <v>370.56532439994032</v>
      </c>
      <c r="O140" s="119"/>
      <c r="P140" s="120"/>
      <c r="Q140" s="120"/>
      <c r="R140" s="120"/>
      <c r="S140" s="120"/>
    </row>
    <row r="141" spans="1:19" x14ac:dyDescent="0.2">
      <c r="A141" s="120"/>
      <c r="B141" s="123">
        <v>49796</v>
      </c>
      <c r="C141" s="119">
        <f t="shared" si="25"/>
        <v>95285.219365275814</v>
      </c>
      <c r="D141" s="119">
        <f t="shared" si="32"/>
        <v>276.32713615929987</v>
      </c>
      <c r="E141" s="119">
        <f t="shared" si="18"/>
        <v>1074.6728638407001</v>
      </c>
      <c r="F141" s="119">
        <f t="shared" si="33"/>
        <v>1351</v>
      </c>
      <c r="G141" s="120"/>
      <c r="H141" s="120"/>
      <c r="I141" s="119">
        <v>650</v>
      </c>
      <c r="J141" s="119"/>
      <c r="K141" s="119"/>
      <c r="L141" s="119"/>
      <c r="M141" s="119"/>
      <c r="N141" s="119">
        <f t="shared" si="34"/>
        <v>373.67286384070013</v>
      </c>
      <c r="O141" s="119"/>
      <c r="P141" s="120"/>
      <c r="Q141" s="120"/>
      <c r="R141" s="120"/>
      <c r="S141" s="120"/>
    </row>
    <row r="142" spans="1:19" x14ac:dyDescent="0.2">
      <c r="A142" s="120"/>
      <c r="B142" s="123">
        <v>49827</v>
      </c>
      <c r="C142" s="119">
        <f t="shared" si="25"/>
        <v>94210.546501435121</v>
      </c>
      <c r="D142" s="119">
        <f t="shared" si="32"/>
        <v>273.21058485416182</v>
      </c>
      <c r="E142" s="119">
        <f t="shared" si="18"/>
        <v>1077.7894151458381</v>
      </c>
      <c r="F142" s="119">
        <f t="shared" si="33"/>
        <v>1351</v>
      </c>
      <c r="G142" s="120"/>
      <c r="H142" s="120"/>
      <c r="I142" s="119">
        <v>650</v>
      </c>
      <c r="J142" s="119"/>
      <c r="K142" s="119"/>
      <c r="L142" s="119"/>
      <c r="M142" s="119"/>
      <c r="N142" s="119">
        <f t="shared" si="34"/>
        <v>376.78941514583818</v>
      </c>
      <c r="O142" s="119"/>
      <c r="P142" s="120"/>
      <c r="Q142" s="120"/>
      <c r="R142" s="120"/>
      <c r="S142" s="120"/>
    </row>
    <row r="143" spans="1:19" x14ac:dyDescent="0.2">
      <c r="A143" s="120"/>
      <c r="B143" s="123">
        <v>49857</v>
      </c>
      <c r="C143" s="119">
        <f t="shared" si="25"/>
        <v>93132.75708628929</v>
      </c>
      <c r="D143" s="119">
        <f t="shared" si="32"/>
        <v>270.08499555023894</v>
      </c>
      <c r="E143" s="119">
        <f t="shared" si="18"/>
        <v>1080.915004449761</v>
      </c>
      <c r="F143" s="119">
        <f t="shared" si="33"/>
        <v>1351</v>
      </c>
      <c r="G143" s="120"/>
      <c r="H143" s="120"/>
      <c r="I143" s="119">
        <v>650</v>
      </c>
      <c r="J143" s="119"/>
      <c r="K143" s="119"/>
      <c r="L143" s="119"/>
      <c r="M143" s="119"/>
      <c r="N143" s="119">
        <f t="shared" si="34"/>
        <v>379.91500444976106</v>
      </c>
      <c r="O143" s="119"/>
      <c r="P143" s="120"/>
      <c r="Q143" s="120"/>
      <c r="R143" s="120"/>
      <c r="S143" s="120"/>
    </row>
    <row r="144" spans="1:19" x14ac:dyDescent="0.2">
      <c r="A144" s="120"/>
      <c r="B144" s="123">
        <v>49888</v>
      </c>
      <c r="C144" s="119">
        <f t="shared" si="25"/>
        <v>92051.842081839524</v>
      </c>
      <c r="D144" s="119">
        <f t="shared" si="32"/>
        <v>266.95034203733456</v>
      </c>
      <c r="E144" s="119">
        <f t="shared" si="18"/>
        <v>1084.0496579626654</v>
      </c>
      <c r="F144" s="119">
        <f t="shared" si="33"/>
        <v>1351</v>
      </c>
      <c r="G144" s="120"/>
      <c r="H144" s="120"/>
      <c r="I144" s="119">
        <v>650</v>
      </c>
      <c r="J144" s="119"/>
      <c r="K144" s="119"/>
      <c r="L144" s="119"/>
      <c r="M144" s="119"/>
      <c r="N144" s="119">
        <f t="shared" si="34"/>
        <v>383.04965796266544</v>
      </c>
      <c r="O144" s="119"/>
      <c r="P144" s="120"/>
      <c r="Q144" s="120"/>
      <c r="R144" s="120"/>
      <c r="S144" s="120"/>
    </row>
    <row r="145" spans="1:19" x14ac:dyDescent="0.2">
      <c r="A145" s="120"/>
      <c r="B145" s="123">
        <v>49918</v>
      </c>
      <c r="C145" s="119">
        <f t="shared" si="25"/>
        <v>90967.792423876861</v>
      </c>
      <c r="D145" s="119">
        <v>0</v>
      </c>
      <c r="E145" s="119">
        <v>0</v>
      </c>
      <c r="F145" s="119">
        <v>0</v>
      </c>
      <c r="G145" s="119">
        <f>'Haushalt (Cash)'!$G$28</f>
        <v>10000</v>
      </c>
      <c r="H145" s="119"/>
      <c r="I145" s="119"/>
      <c r="J145" s="119"/>
      <c r="K145" s="119"/>
      <c r="L145" s="119"/>
      <c r="M145" s="119"/>
      <c r="N145" s="119">
        <f>D145-G145</f>
        <v>-10000</v>
      </c>
      <c r="O145" s="119"/>
      <c r="P145" s="120"/>
      <c r="Q145" s="120"/>
      <c r="R145" s="120"/>
      <c r="S145" s="120"/>
    </row>
    <row r="146" spans="1:19" x14ac:dyDescent="0.2">
      <c r="A146" s="120"/>
      <c r="B146" s="123">
        <v>49919</v>
      </c>
      <c r="C146" s="119">
        <f>MAX(0,C145-G145)</f>
        <v>80967.792423876861</v>
      </c>
      <c r="D146" s="119">
        <f t="shared" ref="D146:D157" si="35">(C146*T$2)/12</f>
        <v>234.80659802924288</v>
      </c>
      <c r="E146" s="119">
        <f t="shared" si="18"/>
        <v>1116.1934019707571</v>
      </c>
      <c r="F146" s="119">
        <f t="shared" ref="F146:F157" si="36">IF(C146=0,0,1351)</f>
        <v>1351</v>
      </c>
      <c r="G146" s="120"/>
      <c r="H146" s="120"/>
      <c r="I146" s="119">
        <v>650</v>
      </c>
      <c r="J146" s="119"/>
      <c r="K146" s="119"/>
      <c r="L146" s="119"/>
      <c r="M146" s="119"/>
      <c r="N146" s="119">
        <f t="shared" ref="N146:N157" si="37">I146-D146</f>
        <v>415.19340197075712</v>
      </c>
      <c r="O146" s="119"/>
      <c r="P146" s="120"/>
      <c r="Q146" s="120"/>
      <c r="R146" s="120"/>
      <c r="S146" s="120"/>
    </row>
    <row r="147" spans="1:19" x14ac:dyDescent="0.2">
      <c r="A147" s="120"/>
      <c r="B147" s="123">
        <v>49949</v>
      </c>
      <c r="C147" s="119">
        <f t="shared" si="25"/>
        <v>79851.599021906106</v>
      </c>
      <c r="D147" s="119">
        <f t="shared" si="35"/>
        <v>231.56963716352769</v>
      </c>
      <c r="E147" s="119">
        <f t="shared" si="18"/>
        <v>1119.4303628364723</v>
      </c>
      <c r="F147" s="119">
        <f t="shared" si="36"/>
        <v>1351</v>
      </c>
      <c r="G147" s="120"/>
      <c r="H147" s="120"/>
      <c r="I147" s="119">
        <v>650</v>
      </c>
      <c r="J147" s="119"/>
      <c r="K147" s="119"/>
      <c r="L147" s="119"/>
      <c r="M147" s="119"/>
      <c r="N147" s="119">
        <f t="shared" si="37"/>
        <v>418.43036283647234</v>
      </c>
      <c r="O147" s="119"/>
      <c r="P147" s="120"/>
      <c r="Q147" s="120"/>
      <c r="R147" s="120"/>
      <c r="S147" s="120"/>
    </row>
    <row r="148" spans="1:19" x14ac:dyDescent="0.2">
      <c r="A148" s="120"/>
      <c r="B148" s="123">
        <v>49980</v>
      </c>
      <c r="C148" s="119">
        <f t="shared" si="25"/>
        <v>78732.168659069634</v>
      </c>
      <c r="D148" s="119">
        <f t="shared" si="35"/>
        <v>228.32328911130193</v>
      </c>
      <c r="E148" s="119">
        <f t="shared" si="18"/>
        <v>1122.6767108886982</v>
      </c>
      <c r="F148" s="119">
        <f t="shared" si="36"/>
        <v>1351</v>
      </c>
      <c r="G148" s="120"/>
      <c r="H148" s="120"/>
      <c r="I148" s="119">
        <v>650</v>
      </c>
      <c r="J148" s="119"/>
      <c r="K148" s="119"/>
      <c r="L148" s="119"/>
      <c r="M148" s="119"/>
      <c r="N148" s="119">
        <f t="shared" si="37"/>
        <v>421.67671088869804</v>
      </c>
      <c r="O148" s="119"/>
      <c r="P148" s="120"/>
      <c r="Q148" s="120"/>
      <c r="R148" s="120"/>
      <c r="S148" s="120"/>
    </row>
    <row r="149" spans="1:19" s="3" customFormat="1" x14ac:dyDescent="0.2">
      <c r="A149" s="117">
        <v>11</v>
      </c>
      <c r="B149" s="121">
        <v>50010</v>
      </c>
      <c r="C149" s="118">
        <f t="shared" si="25"/>
        <v>77609.491948180934</v>
      </c>
      <c r="D149" s="118">
        <f t="shared" si="35"/>
        <v>225.06752664972467</v>
      </c>
      <c r="E149" s="118">
        <f t="shared" si="18"/>
        <v>1125.9324733502754</v>
      </c>
      <c r="F149" s="118">
        <f t="shared" si="36"/>
        <v>1351</v>
      </c>
      <c r="G149" s="117"/>
      <c r="H149" s="117"/>
      <c r="I149" s="118">
        <v>650</v>
      </c>
      <c r="J149" s="118">
        <f>SUM(E137:E149)+G145</f>
        <v>23069.365679613507</v>
      </c>
      <c r="K149" s="118">
        <f>SUM(I137:I149)-SUM(D137:D149)</f>
        <v>4657.3656796135056</v>
      </c>
      <c r="L149" s="118"/>
      <c r="M149" s="118">
        <v>2500</v>
      </c>
      <c r="N149" s="118">
        <f t="shared" si="37"/>
        <v>424.93247335027536</v>
      </c>
      <c r="O149" s="118">
        <f>SUM(N137:N149)+L149+M149</f>
        <v>-2842.6343203864944</v>
      </c>
      <c r="P149" s="118">
        <f>K149+L149+M149</f>
        <v>7157.3656796135056</v>
      </c>
      <c r="Q149" s="122">
        <f>P149/J149</f>
        <v>0.31025411704052613</v>
      </c>
      <c r="R149" s="118">
        <f>(C$222 +R19+R32+R45+R58 +R71+R84 +R97 +R110+R123+ R136) * W$2</f>
        <v>7745.5593468928855</v>
      </c>
      <c r="S149" s="118">
        <f>P149+R149</f>
        <v>14902.925026506391</v>
      </c>
    </row>
    <row r="150" spans="1:19" x14ac:dyDescent="0.2">
      <c r="A150" s="120"/>
      <c r="B150" s="123">
        <v>50041</v>
      </c>
      <c r="C150" s="119">
        <f t="shared" si="25"/>
        <v>76483.559474830661</v>
      </c>
      <c r="D150" s="119">
        <f t="shared" si="35"/>
        <v>221.80232247700891</v>
      </c>
      <c r="E150" s="119">
        <f t="shared" ref="E150:E212" si="38">F150-D150</f>
        <v>1129.1976775229912</v>
      </c>
      <c r="F150" s="119">
        <f t="shared" si="36"/>
        <v>1351</v>
      </c>
      <c r="G150" s="120"/>
      <c r="H150" s="120"/>
      <c r="I150" s="119">
        <v>650</v>
      </c>
      <c r="J150" s="119"/>
      <c r="K150" s="119"/>
      <c r="L150" s="119"/>
      <c r="M150" s="119"/>
      <c r="N150" s="119">
        <f t="shared" si="37"/>
        <v>428.19767752299106</v>
      </c>
      <c r="O150" s="119"/>
      <c r="P150" s="120"/>
      <c r="Q150" s="120"/>
      <c r="R150" s="120"/>
      <c r="S150" s="120"/>
    </row>
    <row r="151" spans="1:19" x14ac:dyDescent="0.2">
      <c r="A151" s="120"/>
      <c r="B151" s="123">
        <v>50072</v>
      </c>
      <c r="C151" s="119">
        <f t="shared" si="25"/>
        <v>75354.361797307676</v>
      </c>
      <c r="D151" s="119">
        <f t="shared" si="35"/>
        <v>218.52764921219224</v>
      </c>
      <c r="E151" s="119">
        <f t="shared" si="38"/>
        <v>1132.4723507878077</v>
      </c>
      <c r="F151" s="119">
        <f t="shared" si="36"/>
        <v>1351</v>
      </c>
      <c r="G151" s="120"/>
      <c r="H151" s="120"/>
      <c r="I151" s="119">
        <v>650</v>
      </c>
      <c r="J151" s="119"/>
      <c r="K151" s="119"/>
      <c r="L151" s="119"/>
      <c r="M151" s="119"/>
      <c r="N151" s="119">
        <f t="shared" si="37"/>
        <v>431.47235078780773</v>
      </c>
      <c r="O151" s="119"/>
      <c r="P151" s="120"/>
      <c r="Q151" s="120"/>
      <c r="R151" s="120"/>
      <c r="S151" s="120"/>
    </row>
    <row r="152" spans="1:19" x14ac:dyDescent="0.2">
      <c r="A152" s="120"/>
      <c r="B152" s="123">
        <v>50100</v>
      </c>
      <c r="C152" s="119">
        <f t="shared" si="25"/>
        <v>74221.889446519868</v>
      </c>
      <c r="D152" s="119">
        <f t="shared" si="35"/>
        <v>215.24347939490761</v>
      </c>
      <c r="E152" s="119">
        <f t="shared" si="38"/>
        <v>1135.7565206050924</v>
      </c>
      <c r="F152" s="119">
        <f t="shared" si="36"/>
        <v>1351</v>
      </c>
      <c r="G152" s="120"/>
      <c r="H152" s="120"/>
      <c r="I152" s="119">
        <v>650</v>
      </c>
      <c r="J152" s="119"/>
      <c r="K152" s="119"/>
      <c r="L152" s="119"/>
      <c r="M152" s="119"/>
      <c r="N152" s="119">
        <f t="shared" si="37"/>
        <v>434.75652060509242</v>
      </c>
      <c r="O152" s="119"/>
      <c r="P152" s="120"/>
      <c r="Q152" s="120"/>
      <c r="R152" s="120"/>
      <c r="S152" s="120"/>
    </row>
    <row r="153" spans="1:19" x14ac:dyDescent="0.2">
      <c r="A153" s="120"/>
      <c r="B153" s="123">
        <v>50131</v>
      </c>
      <c r="C153" s="119">
        <f t="shared" si="25"/>
        <v>73086.132925914775</v>
      </c>
      <c r="D153" s="119">
        <f t="shared" si="35"/>
        <v>211.94978548515283</v>
      </c>
      <c r="E153" s="119">
        <f t="shared" si="38"/>
        <v>1139.0502145148471</v>
      </c>
      <c r="F153" s="119">
        <f t="shared" si="36"/>
        <v>1351</v>
      </c>
      <c r="G153" s="120"/>
      <c r="H153" s="120"/>
      <c r="I153" s="119">
        <v>650</v>
      </c>
      <c r="J153" s="119"/>
      <c r="K153" s="119"/>
      <c r="L153" s="119"/>
      <c r="M153" s="119"/>
      <c r="N153" s="119">
        <f t="shared" si="37"/>
        <v>438.0502145148472</v>
      </c>
      <c r="O153" s="119"/>
      <c r="P153" s="120"/>
      <c r="Q153" s="120"/>
      <c r="R153" s="120"/>
      <c r="S153" s="120"/>
    </row>
    <row r="154" spans="1:19" x14ac:dyDescent="0.2">
      <c r="A154" s="120"/>
      <c r="B154" s="123">
        <v>50161</v>
      </c>
      <c r="C154" s="119">
        <f t="shared" si="25"/>
        <v>71947.082711399926</v>
      </c>
      <c r="D154" s="119">
        <f t="shared" si="35"/>
        <v>208.64653986305976</v>
      </c>
      <c r="E154" s="119">
        <f t="shared" si="38"/>
        <v>1142.3534601369402</v>
      </c>
      <c r="F154" s="119">
        <f t="shared" si="36"/>
        <v>1351</v>
      </c>
      <c r="G154" s="120"/>
      <c r="H154" s="120"/>
      <c r="I154" s="119">
        <v>650</v>
      </c>
      <c r="J154" s="119"/>
      <c r="K154" s="119"/>
      <c r="L154" s="119"/>
      <c r="M154" s="119"/>
      <c r="N154" s="119">
        <f t="shared" si="37"/>
        <v>441.35346013694027</v>
      </c>
      <c r="O154" s="119"/>
      <c r="P154" s="120"/>
      <c r="Q154" s="120"/>
      <c r="R154" s="120"/>
      <c r="S154" s="120"/>
    </row>
    <row r="155" spans="1:19" x14ac:dyDescent="0.2">
      <c r="A155" s="120"/>
      <c r="B155" s="123">
        <v>50192</v>
      </c>
      <c r="C155" s="119">
        <f t="shared" si="25"/>
        <v>70804.729251262979</v>
      </c>
      <c r="D155" s="119">
        <f t="shared" si="35"/>
        <v>205.33371482866264</v>
      </c>
      <c r="E155" s="119">
        <f t="shared" si="38"/>
        <v>1145.6662851713374</v>
      </c>
      <c r="F155" s="119">
        <f t="shared" si="36"/>
        <v>1351</v>
      </c>
      <c r="G155" s="120"/>
      <c r="H155" s="120"/>
      <c r="I155" s="119">
        <v>650</v>
      </c>
      <c r="J155" s="119"/>
      <c r="K155" s="119"/>
      <c r="L155" s="119"/>
      <c r="M155" s="119"/>
      <c r="N155" s="119">
        <f t="shared" si="37"/>
        <v>444.66628517133734</v>
      </c>
      <c r="O155" s="119"/>
      <c r="P155" s="120"/>
      <c r="Q155" s="120"/>
      <c r="R155" s="120"/>
      <c r="S155" s="120"/>
    </row>
    <row r="156" spans="1:19" x14ac:dyDescent="0.2">
      <c r="A156" s="120"/>
      <c r="B156" s="123">
        <v>50222</v>
      </c>
      <c r="C156" s="119">
        <f t="shared" si="25"/>
        <v>69659.062966091646</v>
      </c>
      <c r="D156" s="119">
        <f t="shared" si="35"/>
        <v>202.01128260166578</v>
      </c>
      <c r="E156" s="119">
        <f t="shared" si="38"/>
        <v>1148.9887173983343</v>
      </c>
      <c r="F156" s="119">
        <f t="shared" si="36"/>
        <v>1351</v>
      </c>
      <c r="G156" s="120"/>
      <c r="H156" s="120"/>
      <c r="I156" s="119">
        <v>650</v>
      </c>
      <c r="J156" s="119"/>
      <c r="K156" s="119"/>
      <c r="L156" s="119"/>
      <c r="M156" s="119"/>
      <c r="N156" s="119">
        <f t="shared" si="37"/>
        <v>447.98871739833419</v>
      </c>
      <c r="O156" s="119"/>
      <c r="P156" s="120"/>
      <c r="Q156" s="120"/>
      <c r="R156" s="120"/>
      <c r="S156" s="120"/>
    </row>
    <row r="157" spans="1:19" x14ac:dyDescent="0.2">
      <c r="A157" s="120"/>
      <c r="B157" s="123">
        <v>50253</v>
      </c>
      <c r="C157" s="119">
        <f t="shared" si="25"/>
        <v>68510.074248693316</v>
      </c>
      <c r="D157" s="119">
        <f t="shared" si="35"/>
        <v>198.67921532121059</v>
      </c>
      <c r="E157" s="119">
        <f t="shared" si="38"/>
        <v>1152.3207846787893</v>
      </c>
      <c r="F157" s="119">
        <f t="shared" si="36"/>
        <v>1351</v>
      </c>
      <c r="G157" s="120"/>
      <c r="H157" s="120"/>
      <c r="I157" s="119">
        <v>650</v>
      </c>
      <c r="J157" s="119"/>
      <c r="K157" s="119"/>
      <c r="L157" s="119"/>
      <c r="M157" s="119"/>
      <c r="N157" s="119">
        <f t="shared" si="37"/>
        <v>451.32078467878944</v>
      </c>
      <c r="O157" s="119"/>
      <c r="P157" s="120"/>
      <c r="Q157" s="120"/>
      <c r="R157" s="120"/>
      <c r="S157" s="120"/>
    </row>
    <row r="158" spans="1:19" x14ac:dyDescent="0.2">
      <c r="A158" s="120"/>
      <c r="B158" s="123">
        <v>50283</v>
      </c>
      <c r="C158" s="119">
        <f t="shared" si="25"/>
        <v>67357.753464014531</v>
      </c>
      <c r="D158" s="119">
        <v>0</v>
      </c>
      <c r="E158" s="119">
        <v>0</v>
      </c>
      <c r="F158" s="119">
        <v>0</v>
      </c>
      <c r="G158" s="119">
        <f>'Haushalt (Cash)'!$G$28</f>
        <v>10000</v>
      </c>
      <c r="H158" s="119"/>
      <c r="I158" s="119"/>
      <c r="J158" s="119"/>
      <c r="K158" s="119"/>
      <c r="L158" s="119"/>
      <c r="M158" s="119"/>
      <c r="N158" s="119">
        <f>D158-G158</f>
        <v>-10000</v>
      </c>
      <c r="O158" s="119"/>
      <c r="P158" s="120"/>
      <c r="Q158" s="120"/>
      <c r="R158" s="120"/>
      <c r="S158" s="120"/>
    </row>
    <row r="159" spans="1:19" x14ac:dyDescent="0.2">
      <c r="A159" s="120"/>
      <c r="B159" s="123">
        <v>50284</v>
      </c>
      <c r="C159" s="119">
        <f>MAX(0,C158-G158)</f>
        <v>57357.753464014531</v>
      </c>
      <c r="D159" s="119">
        <f t="shared" ref="D159:D170" si="39">(C159*T$2)/12</f>
        <v>166.33748504564213</v>
      </c>
      <c r="E159" s="119">
        <f t="shared" si="38"/>
        <v>1184.6625149543579</v>
      </c>
      <c r="F159" s="119">
        <f>IF(C159=0,0,1351)</f>
        <v>1351</v>
      </c>
      <c r="G159" s="120"/>
      <c r="H159" s="120"/>
      <c r="I159" s="119">
        <v>650</v>
      </c>
      <c r="J159" s="119"/>
      <c r="K159" s="119"/>
      <c r="L159" s="119"/>
      <c r="M159" s="119"/>
      <c r="N159" s="119">
        <f t="shared" ref="N159:N170" si="40">I159-D159</f>
        <v>483.6625149543579</v>
      </c>
      <c r="O159" s="119"/>
      <c r="P159" s="120"/>
      <c r="Q159" s="120"/>
      <c r="R159" s="120"/>
      <c r="S159" s="120"/>
    </row>
    <row r="160" spans="1:19" x14ac:dyDescent="0.2">
      <c r="A160" s="120"/>
      <c r="B160" s="123">
        <v>50314</v>
      </c>
      <c r="C160" s="119">
        <f t="shared" si="25"/>
        <v>56173.090949060177</v>
      </c>
      <c r="D160" s="119">
        <f t="shared" si="39"/>
        <v>162.9019637522745</v>
      </c>
      <c r="E160" s="119">
        <f t="shared" si="38"/>
        <v>1188.0980362477255</v>
      </c>
      <c r="F160" s="119">
        <f>IF(C160=0,0,1351)</f>
        <v>1351</v>
      </c>
      <c r="G160" s="120"/>
      <c r="H160" s="120"/>
      <c r="I160" s="119">
        <v>650</v>
      </c>
      <c r="J160" s="119"/>
      <c r="K160" s="119"/>
      <c r="L160" s="119"/>
      <c r="M160" s="119"/>
      <c r="N160" s="119">
        <f t="shared" si="40"/>
        <v>487.09803624772553</v>
      </c>
      <c r="O160" s="119"/>
      <c r="P160" s="120"/>
      <c r="Q160" s="120"/>
      <c r="R160" s="120"/>
      <c r="S160" s="120"/>
    </row>
    <row r="161" spans="1:19" x14ac:dyDescent="0.2">
      <c r="A161" s="120"/>
      <c r="B161" s="123">
        <v>50345</v>
      </c>
      <c r="C161" s="119">
        <f t="shared" ref="C161:C188" si="41">MAX(0,C160-E160)</f>
        <v>54984.99291281245</v>
      </c>
      <c r="D161" s="119">
        <f t="shared" si="39"/>
        <v>159.45647944715608</v>
      </c>
      <c r="E161" s="119">
        <f t="shared" si="38"/>
        <v>1191.5435205528438</v>
      </c>
      <c r="F161" s="119">
        <f>IF(C161=0,0,1351)</f>
        <v>1351</v>
      </c>
      <c r="G161" s="120"/>
      <c r="H161" s="120"/>
      <c r="I161" s="119">
        <v>650</v>
      </c>
      <c r="J161" s="119"/>
      <c r="K161" s="119"/>
      <c r="L161" s="119"/>
      <c r="M161" s="119"/>
      <c r="N161" s="119">
        <f t="shared" si="40"/>
        <v>490.54352055284392</v>
      </c>
      <c r="O161" s="119"/>
      <c r="P161" s="120"/>
      <c r="Q161" s="120"/>
      <c r="R161" s="120"/>
      <c r="S161" s="120"/>
    </row>
    <row r="162" spans="1:19" s="3" customFormat="1" x14ac:dyDescent="0.2">
      <c r="A162" s="117">
        <v>12</v>
      </c>
      <c r="B162" s="121">
        <v>50375</v>
      </c>
      <c r="C162" s="118">
        <f t="shared" si="41"/>
        <v>53793.449392259608</v>
      </c>
      <c r="D162" s="118">
        <f t="shared" si="39"/>
        <v>156.00100323755285</v>
      </c>
      <c r="E162" s="118">
        <f t="shared" si="38"/>
        <v>1194.9989967624472</v>
      </c>
      <c r="F162" s="118">
        <f>IF(C162=0,0,1351)</f>
        <v>1351</v>
      </c>
      <c r="G162" s="117"/>
      <c r="H162" s="117"/>
      <c r="I162" s="118">
        <v>650</v>
      </c>
      <c r="J162" s="118">
        <f>SUM(E150:E162)+G158</f>
        <v>23885.109079333517</v>
      </c>
      <c r="K162" s="118">
        <f>SUM(I150:I162)-SUM(D150:D162)</f>
        <v>5473.1090793335134</v>
      </c>
      <c r="L162" s="118"/>
      <c r="M162" s="118">
        <v>2500</v>
      </c>
      <c r="N162" s="118">
        <f t="shared" si="40"/>
        <v>493.99899676244718</v>
      </c>
      <c r="O162" s="118">
        <f>SUM(N150:N162)+L162+M162</f>
        <v>-2026.8909206664866</v>
      </c>
      <c r="P162" s="118">
        <f>K162+L162+M162</f>
        <v>7973.1090793335134</v>
      </c>
      <c r="Q162" s="122">
        <f>P162/J162</f>
        <v>0.333810871570698</v>
      </c>
      <c r="R162" s="118">
        <f>(C$222 +R19+R32+R45+R58+R71 +R84+R97 +R110 +R123+R136+ R149) * W$2</f>
        <v>7884.979415136957</v>
      </c>
      <c r="S162" s="118">
        <f>P162+R162</f>
        <v>15858.08849447047</v>
      </c>
    </row>
    <row r="163" spans="1:19" x14ac:dyDescent="0.2">
      <c r="A163" s="126"/>
      <c r="B163" s="124">
        <v>50406</v>
      </c>
      <c r="C163" s="125">
        <f t="shared" si="41"/>
        <v>52598.450395497159</v>
      </c>
      <c r="D163" s="125">
        <f t="shared" si="39"/>
        <v>152.53550614694174</v>
      </c>
      <c r="E163" s="125">
        <f t="shared" si="38"/>
        <v>1198.4644938530582</v>
      </c>
      <c r="F163" s="125">
        <f>IF(C163=0,0,1351)</f>
        <v>1351</v>
      </c>
      <c r="G163" s="126"/>
      <c r="H163" s="126"/>
      <c r="I163" s="125">
        <v>650</v>
      </c>
      <c r="J163" s="125"/>
      <c r="K163" s="125"/>
      <c r="L163" s="125"/>
      <c r="M163" s="125"/>
      <c r="N163" s="125">
        <f t="shared" si="40"/>
        <v>497.46449385305823</v>
      </c>
      <c r="O163" s="125"/>
      <c r="P163" s="126"/>
      <c r="Q163" s="126"/>
      <c r="R163" s="126"/>
      <c r="S163" s="126"/>
    </row>
    <row r="164" spans="1:19" x14ac:dyDescent="0.2">
      <c r="A164" s="120"/>
      <c r="B164" s="123">
        <v>50437</v>
      </c>
      <c r="C164" s="119">
        <f t="shared" si="41"/>
        <v>51399.985901644104</v>
      </c>
      <c r="D164" s="119">
        <f t="shared" si="39"/>
        <v>149.05995911476791</v>
      </c>
      <c r="E164" s="119">
        <f t="shared" si="38"/>
        <v>1201.9400408852321</v>
      </c>
      <c r="F164" s="119">
        <f t="shared" ref="F164:F212" si="42">IF(C164=0,0,1351)</f>
        <v>1351</v>
      </c>
      <c r="G164" s="120"/>
      <c r="H164" s="120"/>
      <c r="I164" s="119">
        <v>650</v>
      </c>
      <c r="J164" s="119"/>
      <c r="K164" s="119"/>
      <c r="L164" s="119"/>
      <c r="M164" s="119"/>
      <c r="N164" s="119">
        <f t="shared" si="40"/>
        <v>500.94004088523207</v>
      </c>
      <c r="O164" s="119"/>
      <c r="P164" s="120"/>
      <c r="Q164" s="120"/>
      <c r="R164" s="120"/>
      <c r="S164" s="120"/>
    </row>
    <row r="165" spans="1:19" x14ac:dyDescent="0.2">
      <c r="A165" s="120"/>
      <c r="B165" s="123">
        <v>50465</v>
      </c>
      <c r="C165" s="119">
        <f t="shared" si="41"/>
        <v>50198.045860758873</v>
      </c>
      <c r="D165" s="119">
        <f t="shared" si="39"/>
        <v>145.57433299620072</v>
      </c>
      <c r="E165" s="119">
        <f t="shared" si="38"/>
        <v>1205.4256670037994</v>
      </c>
      <c r="F165" s="119">
        <f t="shared" si="42"/>
        <v>1351</v>
      </c>
      <c r="G165" s="120"/>
      <c r="H165" s="120"/>
      <c r="I165" s="119">
        <v>650</v>
      </c>
      <c r="J165" s="119"/>
      <c r="K165" s="119"/>
      <c r="L165" s="119"/>
      <c r="M165" s="119"/>
      <c r="N165" s="119">
        <f t="shared" si="40"/>
        <v>504.42566700379928</v>
      </c>
      <c r="O165" s="119"/>
      <c r="P165" s="120"/>
      <c r="Q165" s="120"/>
      <c r="R165" s="120"/>
      <c r="S165" s="120"/>
    </row>
    <row r="166" spans="1:19" x14ac:dyDescent="0.2">
      <c r="A166" s="120"/>
      <c r="B166" s="123">
        <v>50496</v>
      </c>
      <c r="C166" s="119">
        <f t="shared" si="41"/>
        <v>48992.620193755072</v>
      </c>
      <c r="D166" s="119">
        <f t="shared" si="39"/>
        <v>142.07859856188969</v>
      </c>
      <c r="E166" s="119">
        <f t="shared" si="38"/>
        <v>1208.9214014381103</v>
      </c>
      <c r="F166" s="119">
        <f t="shared" si="42"/>
        <v>1351</v>
      </c>
      <c r="G166" s="120"/>
      <c r="H166" s="120"/>
      <c r="I166" s="119">
        <v>650</v>
      </c>
      <c r="J166" s="119"/>
      <c r="K166" s="119"/>
      <c r="L166" s="119"/>
      <c r="M166" s="119"/>
      <c r="N166" s="119">
        <f t="shared" si="40"/>
        <v>507.92140143811031</v>
      </c>
      <c r="O166" s="119"/>
      <c r="P166" s="120"/>
      <c r="Q166" s="120"/>
      <c r="R166" s="120"/>
      <c r="S166" s="120"/>
    </row>
    <row r="167" spans="1:19" x14ac:dyDescent="0.2">
      <c r="A167" s="120"/>
      <c r="B167" s="123">
        <v>50526</v>
      </c>
      <c r="C167" s="119">
        <f t="shared" si="41"/>
        <v>47783.698792316965</v>
      </c>
      <c r="D167" s="119">
        <f t="shared" si="39"/>
        <v>138.57272649771917</v>
      </c>
      <c r="E167" s="119">
        <f t="shared" si="38"/>
        <v>1212.4272735022807</v>
      </c>
      <c r="F167" s="119">
        <f t="shared" si="42"/>
        <v>1351</v>
      </c>
      <c r="G167" s="120"/>
      <c r="H167" s="120"/>
      <c r="I167" s="119">
        <v>650</v>
      </c>
      <c r="J167" s="119"/>
      <c r="K167" s="119"/>
      <c r="L167" s="119"/>
      <c r="M167" s="119"/>
      <c r="N167" s="119">
        <f t="shared" si="40"/>
        <v>511.42727350228085</v>
      </c>
      <c r="O167" s="119"/>
      <c r="P167" s="120"/>
      <c r="Q167" s="120"/>
      <c r="R167" s="120"/>
      <c r="S167" s="120"/>
    </row>
    <row r="168" spans="1:19" x14ac:dyDescent="0.2">
      <c r="A168" s="120"/>
      <c r="B168" s="123">
        <v>50557</v>
      </c>
      <c r="C168" s="119">
        <f t="shared" si="41"/>
        <v>46571.271518814683</v>
      </c>
      <c r="D168" s="119">
        <f t="shared" si="39"/>
        <v>135.05668740456258</v>
      </c>
      <c r="E168" s="119">
        <f t="shared" si="38"/>
        <v>1215.9433125954374</v>
      </c>
      <c r="F168" s="119">
        <f t="shared" si="42"/>
        <v>1351</v>
      </c>
      <c r="G168" s="120"/>
      <c r="H168" s="120"/>
      <c r="I168" s="119">
        <v>650</v>
      </c>
      <c r="J168" s="119"/>
      <c r="K168" s="119"/>
      <c r="L168" s="119"/>
      <c r="M168" s="119"/>
      <c r="N168" s="119">
        <f t="shared" si="40"/>
        <v>514.94331259543742</v>
      </c>
      <c r="O168" s="119"/>
      <c r="P168" s="120"/>
      <c r="Q168" s="120"/>
      <c r="R168" s="120"/>
      <c r="S168" s="120"/>
    </row>
    <row r="169" spans="1:19" x14ac:dyDescent="0.2">
      <c r="A169" s="120"/>
      <c r="B169" s="123">
        <v>50587</v>
      </c>
      <c r="C169" s="119">
        <f t="shared" si="41"/>
        <v>45355.328206219245</v>
      </c>
      <c r="D169" s="119">
        <f t="shared" si="39"/>
        <v>131.53045179803578</v>
      </c>
      <c r="E169" s="119">
        <f t="shared" si="38"/>
        <v>1219.4695482019642</v>
      </c>
      <c r="F169" s="119">
        <f t="shared" si="42"/>
        <v>1351</v>
      </c>
      <c r="G169" s="120"/>
      <c r="H169" s="120"/>
      <c r="I169" s="119">
        <v>650</v>
      </c>
      <c r="J169" s="119"/>
      <c r="K169" s="119"/>
      <c r="L169" s="119"/>
      <c r="M169" s="119"/>
      <c r="N169" s="119">
        <f t="shared" si="40"/>
        <v>518.46954820196424</v>
      </c>
      <c r="O169" s="119"/>
      <c r="P169" s="120"/>
      <c r="Q169" s="120"/>
      <c r="R169" s="120"/>
      <c r="S169" s="120"/>
    </row>
    <row r="170" spans="1:19" x14ac:dyDescent="0.2">
      <c r="A170" s="120"/>
      <c r="B170" s="123">
        <v>50618</v>
      </c>
      <c r="C170" s="119">
        <f t="shared" si="41"/>
        <v>44135.858658017278</v>
      </c>
      <c r="D170" s="119">
        <f t="shared" si="39"/>
        <v>127.9939901082501</v>
      </c>
      <c r="E170" s="119">
        <f t="shared" si="38"/>
        <v>1223.00600989175</v>
      </c>
      <c r="F170" s="119">
        <f t="shared" si="42"/>
        <v>1351</v>
      </c>
      <c r="G170" s="120"/>
      <c r="H170" s="120"/>
      <c r="I170" s="119">
        <v>650</v>
      </c>
      <c r="J170" s="119"/>
      <c r="K170" s="119"/>
      <c r="L170" s="119"/>
      <c r="M170" s="119"/>
      <c r="N170" s="119">
        <f t="shared" si="40"/>
        <v>522.00600989174995</v>
      </c>
      <c r="O170" s="119"/>
      <c r="P170" s="120"/>
      <c r="Q170" s="120"/>
      <c r="R170" s="120"/>
      <c r="S170" s="120"/>
    </row>
    <row r="171" spans="1:19" x14ac:dyDescent="0.2">
      <c r="A171" s="120"/>
      <c r="B171" s="123">
        <v>50648</v>
      </c>
      <c r="C171" s="119">
        <f t="shared" si="41"/>
        <v>42912.852648125525</v>
      </c>
      <c r="D171" s="119">
        <v>0</v>
      </c>
      <c r="E171" s="119">
        <v>0</v>
      </c>
      <c r="F171" s="119">
        <v>0</v>
      </c>
      <c r="G171" s="119">
        <f>'Haushalt (Cash)'!$G$28</f>
        <v>10000</v>
      </c>
      <c r="H171" s="119"/>
      <c r="I171" s="119"/>
      <c r="J171" s="119"/>
      <c r="K171" s="119"/>
      <c r="L171" s="119"/>
      <c r="M171" s="119"/>
      <c r="N171" s="119">
        <f>D171-G171</f>
        <v>-10000</v>
      </c>
      <c r="O171" s="119"/>
      <c r="P171" s="120"/>
      <c r="Q171" s="120"/>
      <c r="R171" s="120"/>
      <c r="S171" s="120"/>
    </row>
    <row r="172" spans="1:19" x14ac:dyDescent="0.2">
      <c r="A172" s="120"/>
      <c r="B172" s="123">
        <v>50649</v>
      </c>
      <c r="C172" s="119">
        <f>MAX(0,C171-G171)</f>
        <v>32912.852648125525</v>
      </c>
      <c r="D172" s="119">
        <f t="shared" ref="D172:D183" si="43">(C172*T$2)/12</f>
        <v>95.447272679564023</v>
      </c>
      <c r="E172" s="119">
        <f t="shared" si="38"/>
        <v>1255.5527273204359</v>
      </c>
      <c r="F172" s="119">
        <f t="shared" si="42"/>
        <v>1351</v>
      </c>
      <c r="G172" s="120"/>
      <c r="H172" s="120"/>
      <c r="I172" s="119">
        <v>650</v>
      </c>
      <c r="J172" s="119"/>
      <c r="K172" s="119"/>
      <c r="L172" s="119"/>
      <c r="M172" s="119"/>
      <c r="N172" s="119">
        <f t="shared" ref="N172:N183" si="44">I172-D172</f>
        <v>554.55272732043602</v>
      </c>
      <c r="O172" s="119"/>
      <c r="P172" s="120"/>
      <c r="Q172" s="120"/>
      <c r="R172" s="120"/>
      <c r="S172" s="120"/>
    </row>
    <row r="173" spans="1:19" x14ac:dyDescent="0.2">
      <c r="A173" s="120"/>
      <c r="B173" s="123">
        <v>50679</v>
      </c>
      <c r="C173" s="119">
        <f t="shared" si="41"/>
        <v>31657.29992080509</v>
      </c>
      <c r="D173" s="119">
        <f t="shared" si="43"/>
        <v>91.806169770334748</v>
      </c>
      <c r="E173" s="119">
        <f t="shared" si="38"/>
        <v>1259.1938302296653</v>
      </c>
      <c r="F173" s="119">
        <f t="shared" si="42"/>
        <v>1351</v>
      </c>
      <c r="G173" s="120"/>
      <c r="H173" s="120"/>
      <c r="I173" s="119">
        <v>650</v>
      </c>
      <c r="J173" s="119"/>
      <c r="K173" s="119"/>
      <c r="L173" s="119"/>
      <c r="M173" s="119"/>
      <c r="N173" s="119">
        <f t="shared" si="44"/>
        <v>558.19383022966531</v>
      </c>
      <c r="O173" s="119"/>
      <c r="P173" s="120"/>
      <c r="Q173" s="120"/>
      <c r="R173" s="120"/>
      <c r="S173" s="120"/>
    </row>
    <row r="174" spans="1:19" x14ac:dyDescent="0.2">
      <c r="A174" s="120"/>
      <c r="B174" s="123">
        <v>50710</v>
      </c>
      <c r="C174" s="119">
        <f t="shared" si="41"/>
        <v>30398.106090575424</v>
      </c>
      <c r="D174" s="119">
        <f t="shared" si="43"/>
        <v>88.154507662668721</v>
      </c>
      <c r="E174" s="119">
        <f t="shared" si="38"/>
        <v>1262.8454923373313</v>
      </c>
      <c r="F174" s="119">
        <f t="shared" si="42"/>
        <v>1351</v>
      </c>
      <c r="G174" s="120"/>
      <c r="H174" s="120"/>
      <c r="I174" s="119">
        <v>650</v>
      </c>
      <c r="J174" s="119"/>
      <c r="K174" s="119"/>
      <c r="L174" s="119"/>
      <c r="M174" s="119"/>
      <c r="N174" s="119">
        <f t="shared" si="44"/>
        <v>561.84549233733128</v>
      </c>
      <c r="O174" s="119"/>
      <c r="P174" s="120"/>
      <c r="Q174" s="120"/>
      <c r="R174" s="120"/>
      <c r="S174" s="120"/>
    </row>
    <row r="175" spans="1:19" s="3" customFormat="1" x14ac:dyDescent="0.2">
      <c r="A175" s="117">
        <v>13</v>
      </c>
      <c r="B175" s="121">
        <v>50740</v>
      </c>
      <c r="C175" s="118">
        <f t="shared" si="41"/>
        <v>29135.260598238092</v>
      </c>
      <c r="D175" s="118">
        <f t="shared" si="43"/>
        <v>84.492255734890463</v>
      </c>
      <c r="E175" s="118">
        <f t="shared" si="38"/>
        <v>1266.5077442651095</v>
      </c>
      <c r="F175" s="118">
        <f t="shared" si="42"/>
        <v>1351</v>
      </c>
      <c r="G175" s="117"/>
      <c r="H175" s="117"/>
      <c r="I175" s="118">
        <v>650</v>
      </c>
      <c r="J175" s="118">
        <f>SUM(E163:E175)+G171</f>
        <v>24729.697541524172</v>
      </c>
      <c r="K175" s="118">
        <f>SUM(I163:I175)-SUM(D163:D175)</f>
        <v>6317.6975415241741</v>
      </c>
      <c r="L175" s="118"/>
      <c r="M175" s="118">
        <v>2500</v>
      </c>
      <c r="N175" s="118">
        <f t="shared" si="44"/>
        <v>565.50774426510952</v>
      </c>
      <c r="O175" s="118">
        <f>SUM(N163:N175)+L175+M175</f>
        <v>-1182.3024584758264</v>
      </c>
      <c r="P175" s="118">
        <f>K175+L175+M175</f>
        <v>8817.6975415241741</v>
      </c>
      <c r="Q175" s="122">
        <f>P175/J175</f>
        <v>0.35656309692903387</v>
      </c>
      <c r="R175" s="118">
        <f>(C$222 +R19+R32+R45+R58+R71+R84 +R97+R110 +R123 +R136+R149+ R162) * W$2</f>
        <v>8026.9090446094224</v>
      </c>
      <c r="S175" s="118">
        <f>P175+R175</f>
        <v>16844.606586133596</v>
      </c>
    </row>
    <row r="176" spans="1:19" x14ac:dyDescent="0.2">
      <c r="A176" s="120"/>
      <c r="B176" s="123">
        <v>50771</v>
      </c>
      <c r="C176" s="119">
        <f t="shared" si="41"/>
        <v>27868.752853972983</v>
      </c>
      <c r="D176" s="119">
        <f t="shared" si="43"/>
        <v>80.819383276521648</v>
      </c>
      <c r="E176" s="119">
        <f t="shared" si="38"/>
        <v>1270.1806167234784</v>
      </c>
      <c r="F176" s="119">
        <f t="shared" si="42"/>
        <v>1351</v>
      </c>
      <c r="G176" s="120"/>
      <c r="H176" s="120"/>
      <c r="I176" s="119">
        <v>650</v>
      </c>
      <c r="J176" s="119"/>
      <c r="K176" s="119"/>
      <c r="L176" s="119"/>
      <c r="M176" s="119"/>
      <c r="N176" s="119">
        <f t="shared" si="44"/>
        <v>569.18061672347835</v>
      </c>
      <c r="O176" s="119"/>
      <c r="P176" s="120"/>
      <c r="Q176" s="120"/>
      <c r="R176" s="120"/>
      <c r="S176" s="120"/>
    </row>
    <row r="177" spans="1:19" x14ac:dyDescent="0.2">
      <c r="A177" s="120"/>
      <c r="B177" s="123">
        <v>50802</v>
      </c>
      <c r="C177" s="119">
        <f t="shared" si="41"/>
        <v>26598.572237249504</v>
      </c>
      <c r="D177" s="119">
        <f t="shared" si="43"/>
        <v>77.135859488023556</v>
      </c>
      <c r="E177" s="119">
        <f t="shared" si="38"/>
        <v>1273.8641405119765</v>
      </c>
      <c r="F177" s="119">
        <f t="shared" si="42"/>
        <v>1351</v>
      </c>
      <c r="G177" s="120"/>
      <c r="H177" s="120"/>
      <c r="I177" s="119">
        <v>650</v>
      </c>
      <c r="J177" s="119"/>
      <c r="K177" s="119"/>
      <c r="L177" s="119"/>
      <c r="M177" s="119"/>
      <c r="N177" s="119">
        <f t="shared" si="44"/>
        <v>572.86414051197642</v>
      </c>
      <c r="O177" s="119"/>
      <c r="P177" s="120"/>
      <c r="Q177" s="120"/>
      <c r="R177" s="120"/>
      <c r="S177" s="120"/>
    </row>
    <row r="178" spans="1:19" x14ac:dyDescent="0.2">
      <c r="A178" s="120"/>
      <c r="B178" s="123">
        <v>50830</v>
      </c>
      <c r="C178" s="119">
        <f t="shared" si="41"/>
        <v>25324.708096737526</v>
      </c>
      <c r="D178" s="119">
        <f t="shared" si="43"/>
        <v>73.441653480538818</v>
      </c>
      <c r="E178" s="119">
        <f t="shared" si="38"/>
        <v>1277.5583465194611</v>
      </c>
      <c r="F178" s="119">
        <f t="shared" si="42"/>
        <v>1351</v>
      </c>
      <c r="G178" s="120"/>
      <c r="H178" s="120"/>
      <c r="I178" s="119">
        <v>650</v>
      </c>
      <c r="J178" s="119"/>
      <c r="K178" s="119"/>
      <c r="L178" s="119"/>
      <c r="M178" s="119"/>
      <c r="N178" s="119">
        <f t="shared" si="44"/>
        <v>576.55834651946122</v>
      </c>
      <c r="O178" s="119"/>
      <c r="P178" s="120"/>
      <c r="Q178" s="120"/>
      <c r="R178" s="120"/>
      <c r="S178" s="120"/>
    </row>
    <row r="179" spans="1:19" x14ac:dyDescent="0.2">
      <c r="A179" s="120"/>
      <c r="B179" s="123">
        <v>50861</v>
      </c>
      <c r="C179" s="119">
        <f t="shared" si="41"/>
        <v>24047.149750218065</v>
      </c>
      <c r="D179" s="119">
        <f t="shared" si="43"/>
        <v>69.736734275632386</v>
      </c>
      <c r="E179" s="119">
        <f t="shared" si="38"/>
        <v>1281.2632657243676</v>
      </c>
      <c r="F179" s="119">
        <f t="shared" si="42"/>
        <v>1351</v>
      </c>
      <c r="G179" s="120"/>
      <c r="H179" s="120"/>
      <c r="I179" s="119">
        <v>650</v>
      </c>
      <c r="J179" s="119"/>
      <c r="K179" s="119"/>
      <c r="L179" s="119"/>
      <c r="M179" s="119"/>
      <c r="N179" s="119">
        <f t="shared" si="44"/>
        <v>580.26326572436756</v>
      </c>
      <c r="O179" s="119"/>
      <c r="P179" s="120"/>
      <c r="Q179" s="120"/>
      <c r="R179" s="120"/>
      <c r="S179" s="120"/>
    </row>
    <row r="180" spans="1:19" x14ac:dyDescent="0.2">
      <c r="A180" s="120"/>
      <c r="B180" s="123">
        <v>50891</v>
      </c>
      <c r="C180" s="119">
        <f t="shared" si="41"/>
        <v>22765.886484493698</v>
      </c>
      <c r="D180" s="119">
        <f t="shared" si="43"/>
        <v>66.021070805031727</v>
      </c>
      <c r="E180" s="119">
        <f t="shared" si="38"/>
        <v>1284.9789291949683</v>
      </c>
      <c r="F180" s="119">
        <f t="shared" si="42"/>
        <v>1351</v>
      </c>
      <c r="G180" s="120"/>
      <c r="H180" s="120"/>
      <c r="I180" s="119">
        <v>650</v>
      </c>
      <c r="J180" s="119"/>
      <c r="K180" s="119"/>
      <c r="L180" s="119"/>
      <c r="M180" s="119"/>
      <c r="N180" s="119">
        <f t="shared" si="44"/>
        <v>583.97892919496826</v>
      </c>
      <c r="O180" s="119"/>
      <c r="P180" s="120"/>
      <c r="Q180" s="120"/>
      <c r="R180" s="120"/>
      <c r="S180" s="120"/>
    </row>
    <row r="181" spans="1:19" x14ac:dyDescent="0.2">
      <c r="A181" s="120"/>
      <c r="B181" s="123">
        <v>50922</v>
      </c>
      <c r="C181" s="119">
        <f t="shared" si="41"/>
        <v>21480.907555298731</v>
      </c>
      <c r="D181" s="119">
        <f t="shared" si="43"/>
        <v>62.294631910366313</v>
      </c>
      <c r="E181" s="119">
        <f t="shared" si="38"/>
        <v>1288.7053680896338</v>
      </c>
      <c r="F181" s="119">
        <f t="shared" si="42"/>
        <v>1351</v>
      </c>
      <c r="G181" s="120"/>
      <c r="H181" s="120"/>
      <c r="I181" s="119">
        <v>650</v>
      </c>
      <c r="J181" s="119"/>
      <c r="K181" s="119"/>
      <c r="L181" s="119"/>
      <c r="M181" s="119"/>
      <c r="N181" s="119">
        <f t="shared" si="44"/>
        <v>587.70536808963368</v>
      </c>
      <c r="O181" s="119"/>
      <c r="P181" s="120"/>
      <c r="Q181" s="120"/>
      <c r="R181" s="120"/>
      <c r="S181" s="120"/>
    </row>
    <row r="182" spans="1:19" x14ac:dyDescent="0.2">
      <c r="A182" s="120"/>
      <c r="B182" s="123">
        <v>50952</v>
      </c>
      <c r="C182" s="119">
        <f t="shared" si="41"/>
        <v>20192.202187209095</v>
      </c>
      <c r="D182" s="119">
        <f t="shared" si="43"/>
        <v>58.557386342906369</v>
      </c>
      <c r="E182" s="119">
        <f t="shared" si="38"/>
        <v>1292.4426136570937</v>
      </c>
      <c r="F182" s="119">
        <f t="shared" si="42"/>
        <v>1351</v>
      </c>
      <c r="G182" s="120"/>
      <c r="H182" s="120"/>
      <c r="I182" s="119">
        <v>650</v>
      </c>
      <c r="J182" s="119"/>
      <c r="K182" s="119"/>
      <c r="L182" s="119"/>
      <c r="M182" s="119"/>
      <c r="N182" s="119">
        <f t="shared" si="44"/>
        <v>591.4426136570936</v>
      </c>
      <c r="O182" s="119"/>
      <c r="P182" s="120"/>
      <c r="Q182" s="120"/>
      <c r="R182" s="120"/>
      <c r="S182" s="120"/>
    </row>
    <row r="183" spans="1:19" x14ac:dyDescent="0.2">
      <c r="A183" s="120"/>
      <c r="B183" s="123">
        <v>50983</v>
      </c>
      <c r="C183" s="119">
        <f t="shared" si="41"/>
        <v>18899.759573552001</v>
      </c>
      <c r="D183" s="119">
        <f t="shared" si="43"/>
        <v>54.809302763300799</v>
      </c>
      <c r="E183" s="119">
        <f t="shared" si="38"/>
        <v>1296.1906972366992</v>
      </c>
      <c r="F183" s="119">
        <f t="shared" si="42"/>
        <v>1351</v>
      </c>
      <c r="G183" s="120"/>
      <c r="H183" s="120"/>
      <c r="I183" s="119">
        <v>650</v>
      </c>
      <c r="J183" s="119"/>
      <c r="K183" s="119"/>
      <c r="L183" s="119"/>
      <c r="M183" s="119"/>
      <c r="N183" s="119">
        <f t="shared" si="44"/>
        <v>595.19069723669918</v>
      </c>
      <c r="O183" s="119"/>
      <c r="P183" s="120"/>
      <c r="Q183" s="120"/>
      <c r="R183" s="120"/>
      <c r="S183" s="120"/>
    </row>
    <row r="184" spans="1:19" x14ac:dyDescent="0.2">
      <c r="A184" s="120"/>
      <c r="B184" s="123">
        <v>51013</v>
      </c>
      <c r="C184" s="119">
        <f t="shared" si="41"/>
        <v>17603.568876315301</v>
      </c>
      <c r="D184" s="119">
        <v>0</v>
      </c>
      <c r="E184" s="119">
        <v>0</v>
      </c>
      <c r="F184" s="119">
        <v>0</v>
      </c>
      <c r="G184" s="119">
        <f>'Haushalt (Cash)'!$G$28</f>
        <v>10000</v>
      </c>
      <c r="H184" s="119"/>
      <c r="I184" s="119"/>
      <c r="J184" s="119"/>
      <c r="K184" s="119"/>
      <c r="L184" s="119"/>
      <c r="M184" s="119"/>
      <c r="N184" s="119">
        <f>D184-G184</f>
        <v>-10000</v>
      </c>
      <c r="O184" s="119"/>
      <c r="P184" s="120"/>
      <c r="Q184" s="120"/>
      <c r="R184" s="120"/>
      <c r="S184" s="120"/>
    </row>
    <row r="185" spans="1:19" x14ac:dyDescent="0.2">
      <c r="A185" s="120"/>
      <c r="B185" s="123">
        <v>51014</v>
      </c>
      <c r="C185" s="119">
        <f>MAX(0,C184-G184)</f>
        <v>7603.5688763153012</v>
      </c>
      <c r="D185" s="119">
        <f t="shared" ref="D185:D196" si="45">(C185*T$2)/12</f>
        <v>22.050349741314374</v>
      </c>
      <c r="E185" s="119">
        <f t="shared" si="38"/>
        <v>1328.9496502586856</v>
      </c>
      <c r="F185" s="119">
        <f t="shared" si="42"/>
        <v>1351</v>
      </c>
      <c r="G185" s="120"/>
      <c r="H185" s="120"/>
      <c r="I185" s="119">
        <v>650</v>
      </c>
      <c r="J185" s="119"/>
      <c r="K185" s="119"/>
      <c r="L185" s="119"/>
      <c r="M185" s="119"/>
      <c r="N185" s="119">
        <f t="shared" ref="N185:N196" si="46">I185-D185</f>
        <v>627.94965025868566</v>
      </c>
      <c r="O185" s="119"/>
      <c r="P185" s="120"/>
      <c r="Q185" s="120"/>
      <c r="R185" s="120"/>
      <c r="S185" s="120"/>
    </row>
    <row r="186" spans="1:19" x14ac:dyDescent="0.2">
      <c r="A186" s="120"/>
      <c r="B186" s="123">
        <v>51044</v>
      </c>
      <c r="C186" s="119">
        <f t="shared" si="41"/>
        <v>6274.6192260566158</v>
      </c>
      <c r="D186" s="119">
        <f t="shared" si="45"/>
        <v>18.196395755564186</v>
      </c>
      <c r="E186" s="119">
        <f t="shared" si="38"/>
        <v>1332.8036042444357</v>
      </c>
      <c r="F186" s="119">
        <f t="shared" si="42"/>
        <v>1351</v>
      </c>
      <c r="G186" s="120"/>
      <c r="H186" s="120"/>
      <c r="I186" s="119">
        <v>650</v>
      </c>
      <c r="J186" s="119"/>
      <c r="K186" s="119"/>
      <c r="L186" s="119"/>
      <c r="M186" s="119"/>
      <c r="N186" s="119">
        <f t="shared" si="46"/>
        <v>631.80360424443586</v>
      </c>
      <c r="O186" s="119"/>
      <c r="P186" s="120"/>
      <c r="Q186" s="120"/>
      <c r="R186" s="120"/>
      <c r="S186" s="120"/>
    </row>
    <row r="187" spans="1:19" x14ac:dyDescent="0.2">
      <c r="A187" s="120"/>
      <c r="B187" s="123">
        <v>51075</v>
      </c>
      <c r="C187" s="119">
        <f t="shared" si="41"/>
        <v>4941.8156218121803</v>
      </c>
      <c r="D187" s="119">
        <f t="shared" si="45"/>
        <v>14.331265303255321</v>
      </c>
      <c r="E187" s="119">
        <f t="shared" si="38"/>
        <v>1336.6687346967447</v>
      </c>
      <c r="F187" s="119">
        <f t="shared" si="42"/>
        <v>1351</v>
      </c>
      <c r="G187" s="120"/>
      <c r="H187" s="120"/>
      <c r="I187" s="119">
        <v>650</v>
      </c>
      <c r="J187" s="119"/>
      <c r="K187" s="119"/>
      <c r="L187" s="119"/>
      <c r="M187" s="119"/>
      <c r="N187" s="119">
        <f t="shared" si="46"/>
        <v>635.66873469674465</v>
      </c>
      <c r="O187" s="119"/>
      <c r="P187" s="120"/>
      <c r="Q187" s="120"/>
      <c r="R187" s="120"/>
      <c r="S187" s="120"/>
    </row>
    <row r="188" spans="1:19" s="3" customFormat="1" x14ac:dyDescent="0.2">
      <c r="A188" s="117">
        <v>14</v>
      </c>
      <c r="B188" s="121">
        <v>51105</v>
      </c>
      <c r="C188" s="118">
        <f t="shared" si="41"/>
        <v>3605.1468871154357</v>
      </c>
      <c r="D188" s="118">
        <f t="shared" si="45"/>
        <v>10.454925972634763</v>
      </c>
      <c r="E188" s="118">
        <f t="shared" si="38"/>
        <v>1340.5450740273652</v>
      </c>
      <c r="F188" s="118">
        <f t="shared" si="42"/>
        <v>1351</v>
      </c>
      <c r="G188" s="117"/>
      <c r="H188" s="117"/>
      <c r="I188" s="118">
        <v>650</v>
      </c>
      <c r="J188" s="118">
        <f>SUM(E176:E188)+G184</f>
        <v>25604.15104088491</v>
      </c>
      <c r="K188" s="118">
        <f>SUM(I176:I188)-SUM(D176:D188)</f>
        <v>7192.1510408849099</v>
      </c>
      <c r="L188" s="118"/>
      <c r="M188" s="118">
        <v>2500</v>
      </c>
      <c r="N188" s="118">
        <f t="shared" si="46"/>
        <v>639.54507402736522</v>
      </c>
      <c r="O188" s="118">
        <f>SUM(N176:N188)+L188+M188</f>
        <v>-307.84895911509102</v>
      </c>
      <c r="P188" s="118">
        <f>K188+L188+M188</f>
        <v>9692.1510408849099</v>
      </c>
      <c r="Q188" s="122">
        <f>P188/J188</f>
        <v>0.37853827004099477</v>
      </c>
      <c r="R188" s="118">
        <f>(C$222 +R19+R32+R45+R58+R71+R84+R97 +R110+R123 +R136 +R149+R162+ R175) * W$2</f>
        <v>8171.3934074123918</v>
      </c>
      <c r="S188" s="118">
        <f>P188+R188</f>
        <v>17863.544448297303</v>
      </c>
    </row>
    <row r="189" spans="1:19" x14ac:dyDescent="0.2">
      <c r="A189" s="120"/>
      <c r="B189" s="123">
        <v>51136</v>
      </c>
      <c r="C189" s="119">
        <f>MAX(0,C188-E188)</f>
        <v>2264.6018130880702</v>
      </c>
      <c r="D189" s="119">
        <f t="shared" si="45"/>
        <v>6.5673452579554032</v>
      </c>
      <c r="E189" s="119">
        <f t="shared" si="38"/>
        <v>1344.4326547420446</v>
      </c>
      <c r="F189" s="119">
        <f t="shared" si="42"/>
        <v>1351</v>
      </c>
      <c r="G189" s="120"/>
      <c r="H189" s="120"/>
      <c r="I189" s="119">
        <v>650</v>
      </c>
      <c r="J189" s="119"/>
      <c r="K189" s="119"/>
      <c r="L189" s="119"/>
      <c r="M189" s="119"/>
      <c r="N189" s="119">
        <f t="shared" si="46"/>
        <v>643.43265474204463</v>
      </c>
      <c r="O189" s="119"/>
      <c r="P189" s="120"/>
      <c r="Q189" s="120"/>
      <c r="R189" s="120"/>
      <c r="S189" s="120"/>
    </row>
    <row r="190" spans="1:19" x14ac:dyDescent="0.2">
      <c r="A190" s="120"/>
      <c r="B190" s="123">
        <v>51167</v>
      </c>
      <c r="C190" s="119">
        <f t="shared" ref="C190:C212" si="47">MAX(0,C189-E189)</f>
        <v>920.1691583460256</v>
      </c>
      <c r="D190" s="119">
        <f t="shared" si="45"/>
        <v>2.6684905592034744</v>
      </c>
      <c r="E190" s="119">
        <f t="shared" si="38"/>
        <v>1348.3315094407965</v>
      </c>
      <c r="F190" s="119">
        <f t="shared" si="42"/>
        <v>1351</v>
      </c>
      <c r="G190" s="120"/>
      <c r="H190" s="120"/>
      <c r="I190" s="119">
        <v>650</v>
      </c>
      <c r="J190" s="119"/>
      <c r="K190" s="119"/>
      <c r="L190" s="119"/>
      <c r="M190" s="119"/>
      <c r="N190" s="119">
        <f t="shared" si="46"/>
        <v>647.33150944079648</v>
      </c>
      <c r="O190" s="119"/>
      <c r="P190" s="120"/>
      <c r="Q190" s="120"/>
      <c r="R190" s="120"/>
      <c r="S190" s="120"/>
    </row>
    <row r="191" spans="1:19" x14ac:dyDescent="0.2">
      <c r="A191" s="120"/>
      <c r="B191" s="123">
        <v>51196</v>
      </c>
      <c r="C191" s="119">
        <f t="shared" si="47"/>
        <v>0</v>
      </c>
      <c r="D191" s="119">
        <f t="shared" si="45"/>
        <v>0</v>
      </c>
      <c r="E191" s="119">
        <f t="shared" si="38"/>
        <v>0</v>
      </c>
      <c r="F191" s="119">
        <f t="shared" si="42"/>
        <v>0</v>
      </c>
      <c r="G191" s="120"/>
      <c r="H191" s="120"/>
      <c r="I191" s="119">
        <v>650</v>
      </c>
      <c r="J191" s="119"/>
      <c r="K191" s="119"/>
      <c r="L191" s="119"/>
      <c r="M191" s="119"/>
      <c r="N191" s="119">
        <f t="shared" si="46"/>
        <v>650</v>
      </c>
      <c r="O191" s="119"/>
      <c r="P191" s="120"/>
      <c r="Q191" s="120"/>
      <c r="R191" s="120"/>
      <c r="S191" s="120"/>
    </row>
    <row r="192" spans="1:19" x14ac:dyDescent="0.2">
      <c r="A192" s="120"/>
      <c r="B192" s="123">
        <v>51227</v>
      </c>
      <c r="C192" s="119">
        <f t="shared" si="47"/>
        <v>0</v>
      </c>
      <c r="D192" s="119">
        <f t="shared" si="45"/>
        <v>0</v>
      </c>
      <c r="E192" s="119">
        <f t="shared" si="38"/>
        <v>0</v>
      </c>
      <c r="F192" s="119">
        <f t="shared" si="42"/>
        <v>0</v>
      </c>
      <c r="G192" s="120"/>
      <c r="H192" s="120"/>
      <c r="I192" s="119">
        <v>650</v>
      </c>
      <c r="J192" s="119"/>
      <c r="K192" s="119"/>
      <c r="L192" s="119"/>
      <c r="M192" s="119"/>
      <c r="N192" s="119">
        <f t="shared" si="46"/>
        <v>650</v>
      </c>
      <c r="O192" s="119"/>
      <c r="P192" s="120"/>
      <c r="Q192" s="120"/>
      <c r="R192" s="120"/>
      <c r="S192" s="120"/>
    </row>
    <row r="193" spans="1:19" x14ac:dyDescent="0.2">
      <c r="A193" s="120"/>
      <c r="B193" s="123">
        <v>51257</v>
      </c>
      <c r="C193" s="119">
        <f t="shared" si="47"/>
        <v>0</v>
      </c>
      <c r="D193" s="119">
        <f t="shared" si="45"/>
        <v>0</v>
      </c>
      <c r="E193" s="119">
        <f t="shared" si="38"/>
        <v>0</v>
      </c>
      <c r="F193" s="119">
        <f t="shared" si="42"/>
        <v>0</v>
      </c>
      <c r="G193" s="120"/>
      <c r="H193" s="120"/>
      <c r="I193" s="119">
        <v>650</v>
      </c>
      <c r="J193" s="119"/>
      <c r="K193" s="119"/>
      <c r="L193" s="119"/>
      <c r="M193" s="119"/>
      <c r="N193" s="119">
        <f t="shared" si="46"/>
        <v>650</v>
      </c>
      <c r="O193" s="119"/>
      <c r="P193" s="120"/>
      <c r="Q193" s="120"/>
      <c r="R193" s="120"/>
      <c r="S193" s="120"/>
    </row>
    <row r="194" spans="1:19" x14ac:dyDescent="0.2">
      <c r="A194" s="120"/>
      <c r="B194" s="123">
        <v>51288</v>
      </c>
      <c r="C194" s="119">
        <f t="shared" si="47"/>
        <v>0</v>
      </c>
      <c r="D194" s="119">
        <f t="shared" si="45"/>
        <v>0</v>
      </c>
      <c r="E194" s="119">
        <f t="shared" si="38"/>
        <v>0</v>
      </c>
      <c r="F194" s="119">
        <f t="shared" si="42"/>
        <v>0</v>
      </c>
      <c r="G194" s="120"/>
      <c r="H194" s="120"/>
      <c r="I194" s="119">
        <v>650</v>
      </c>
      <c r="J194" s="119"/>
      <c r="K194" s="119"/>
      <c r="L194" s="119"/>
      <c r="M194" s="119"/>
      <c r="N194" s="119">
        <f t="shared" si="46"/>
        <v>650</v>
      </c>
      <c r="O194" s="119"/>
      <c r="P194" s="120"/>
      <c r="Q194" s="120"/>
      <c r="R194" s="120"/>
      <c r="S194" s="120"/>
    </row>
    <row r="195" spans="1:19" x14ac:dyDescent="0.2">
      <c r="A195" s="120"/>
      <c r="B195" s="123">
        <v>51318</v>
      </c>
      <c r="C195" s="119">
        <f t="shared" si="47"/>
        <v>0</v>
      </c>
      <c r="D195" s="119">
        <f t="shared" si="45"/>
        <v>0</v>
      </c>
      <c r="E195" s="119">
        <f t="shared" si="38"/>
        <v>0</v>
      </c>
      <c r="F195" s="119">
        <f t="shared" si="42"/>
        <v>0</v>
      </c>
      <c r="G195" s="120"/>
      <c r="H195" s="120"/>
      <c r="I195" s="119">
        <v>650</v>
      </c>
      <c r="J195" s="119"/>
      <c r="K195" s="119"/>
      <c r="L195" s="119"/>
      <c r="M195" s="119"/>
      <c r="N195" s="119">
        <f t="shared" si="46"/>
        <v>650</v>
      </c>
      <c r="O195" s="119"/>
      <c r="P195" s="120"/>
      <c r="Q195" s="120"/>
      <c r="R195" s="120"/>
      <c r="S195" s="120"/>
    </row>
    <row r="196" spans="1:19" x14ac:dyDescent="0.2">
      <c r="A196" s="120"/>
      <c r="B196" s="123">
        <v>51349</v>
      </c>
      <c r="C196" s="119">
        <f t="shared" si="47"/>
        <v>0</v>
      </c>
      <c r="D196" s="119">
        <f t="shared" si="45"/>
        <v>0</v>
      </c>
      <c r="E196" s="119">
        <f t="shared" si="38"/>
        <v>0</v>
      </c>
      <c r="F196" s="119">
        <f t="shared" si="42"/>
        <v>0</v>
      </c>
      <c r="G196" s="120"/>
      <c r="H196" s="120"/>
      <c r="I196" s="119">
        <v>650</v>
      </c>
      <c r="J196" s="119"/>
      <c r="K196" s="119"/>
      <c r="L196" s="119"/>
      <c r="M196" s="119"/>
      <c r="N196" s="119">
        <f t="shared" si="46"/>
        <v>650</v>
      </c>
      <c r="O196" s="119"/>
      <c r="P196" s="120"/>
      <c r="Q196" s="120"/>
      <c r="R196" s="120"/>
      <c r="S196" s="120"/>
    </row>
    <row r="197" spans="1:19" x14ac:dyDescent="0.2">
      <c r="A197" s="120"/>
      <c r="B197" s="123">
        <v>51379</v>
      </c>
      <c r="C197" s="119">
        <f t="shared" si="47"/>
        <v>0</v>
      </c>
      <c r="D197" s="119">
        <v>0</v>
      </c>
      <c r="E197" s="119">
        <v>0</v>
      </c>
      <c r="F197" s="119">
        <v>0</v>
      </c>
      <c r="G197" s="119"/>
      <c r="H197" s="119"/>
      <c r="I197" s="119"/>
      <c r="J197" s="119"/>
      <c r="K197" s="119"/>
      <c r="L197" s="119"/>
      <c r="M197" s="119"/>
      <c r="N197" s="119">
        <f>D197-G197</f>
        <v>0</v>
      </c>
      <c r="O197" s="119"/>
      <c r="P197" s="120"/>
      <c r="Q197" s="120"/>
      <c r="R197" s="120"/>
      <c r="S197" s="120"/>
    </row>
    <row r="198" spans="1:19" x14ac:dyDescent="0.2">
      <c r="A198" s="120"/>
      <c r="B198" s="123">
        <v>51380</v>
      </c>
      <c r="C198" s="119">
        <f>MAX(0,C197-G197)</f>
        <v>0</v>
      </c>
      <c r="D198" s="119">
        <f t="shared" ref="D198:D212" si="48">(C198*T$2)/12</f>
        <v>0</v>
      </c>
      <c r="E198" s="119">
        <f t="shared" si="38"/>
        <v>0</v>
      </c>
      <c r="F198" s="119">
        <f t="shared" si="42"/>
        <v>0</v>
      </c>
      <c r="G198" s="120"/>
      <c r="H198" s="120"/>
      <c r="I198" s="119">
        <v>650</v>
      </c>
      <c r="J198" s="119"/>
      <c r="K198" s="119"/>
      <c r="L198" s="119"/>
      <c r="M198" s="119"/>
      <c r="N198" s="119">
        <f t="shared" ref="N198:N212" si="49">I198-D198</f>
        <v>650</v>
      </c>
      <c r="O198" s="119"/>
      <c r="P198" s="120"/>
      <c r="Q198" s="120"/>
      <c r="R198" s="120"/>
      <c r="S198" s="120"/>
    </row>
    <row r="199" spans="1:19" x14ac:dyDescent="0.2">
      <c r="A199" s="120"/>
      <c r="B199" s="123">
        <v>51410</v>
      </c>
      <c r="C199" s="119">
        <f t="shared" si="47"/>
        <v>0</v>
      </c>
      <c r="D199" s="119">
        <f t="shared" si="48"/>
        <v>0</v>
      </c>
      <c r="E199" s="119">
        <f t="shared" si="38"/>
        <v>0</v>
      </c>
      <c r="F199" s="119">
        <f t="shared" si="42"/>
        <v>0</v>
      </c>
      <c r="G199" s="120"/>
      <c r="H199" s="120"/>
      <c r="I199" s="119">
        <v>650</v>
      </c>
      <c r="J199" s="119"/>
      <c r="K199" s="119"/>
      <c r="L199" s="119"/>
      <c r="M199" s="119"/>
      <c r="N199" s="119">
        <f t="shared" si="49"/>
        <v>650</v>
      </c>
      <c r="O199" s="119"/>
      <c r="P199" s="120"/>
      <c r="Q199" s="120"/>
      <c r="R199" s="120"/>
      <c r="S199" s="120"/>
    </row>
    <row r="200" spans="1:19" x14ac:dyDescent="0.2">
      <c r="A200" s="120"/>
      <c r="B200" s="123">
        <v>51441</v>
      </c>
      <c r="C200" s="119">
        <f t="shared" si="47"/>
        <v>0</v>
      </c>
      <c r="D200" s="119">
        <f t="shared" si="48"/>
        <v>0</v>
      </c>
      <c r="E200" s="119">
        <f t="shared" si="38"/>
        <v>0</v>
      </c>
      <c r="F200" s="119">
        <f t="shared" si="42"/>
        <v>0</v>
      </c>
      <c r="G200" s="120"/>
      <c r="H200" s="120"/>
      <c r="I200" s="119">
        <v>650</v>
      </c>
      <c r="J200" s="119"/>
      <c r="K200" s="119"/>
      <c r="L200" s="119"/>
      <c r="M200" s="119"/>
      <c r="N200" s="119">
        <f t="shared" si="49"/>
        <v>650</v>
      </c>
      <c r="O200" s="119"/>
      <c r="P200" s="120"/>
      <c r="Q200" s="120"/>
      <c r="R200" s="120"/>
      <c r="S200" s="120"/>
    </row>
    <row r="201" spans="1:19" s="3" customFormat="1" x14ac:dyDescent="0.2">
      <c r="A201" s="117">
        <v>15</v>
      </c>
      <c r="B201" s="121">
        <v>51471</v>
      </c>
      <c r="C201" s="118">
        <f t="shared" si="47"/>
        <v>0</v>
      </c>
      <c r="D201" s="118">
        <f t="shared" si="48"/>
        <v>0</v>
      </c>
      <c r="E201" s="118">
        <f t="shared" si="38"/>
        <v>0</v>
      </c>
      <c r="F201" s="118">
        <f t="shared" si="42"/>
        <v>0</v>
      </c>
      <c r="G201" s="117"/>
      <c r="H201" s="117"/>
      <c r="I201" s="118">
        <v>650</v>
      </c>
      <c r="J201" s="118">
        <f>SUM(E189:E201)+G197</f>
        <v>2692.7641641828413</v>
      </c>
      <c r="K201" s="118">
        <f>SUM(I189:I201)-SUM(D189:D201)</f>
        <v>7790.7641641828413</v>
      </c>
      <c r="L201" s="118"/>
      <c r="M201" s="118">
        <v>2500</v>
      </c>
      <c r="N201" s="118">
        <f t="shared" si="49"/>
        <v>650</v>
      </c>
      <c r="O201" s="118">
        <f>SUM(N189:N201)+L201+M201</f>
        <v>10290.764164182841</v>
      </c>
      <c r="P201" s="118">
        <f>K201+L201+M201</f>
        <v>10290.764164182841</v>
      </c>
      <c r="Q201" s="122">
        <f>P201/J201</f>
        <v>3.8216358866710203</v>
      </c>
      <c r="R201" s="118">
        <f>(C$222 +R19+R32+R45+R58+R71+R84+R97+R110 +R123+R136 +R149 +R162+R175+ R188) * W$2</f>
        <v>8318.4784887458154</v>
      </c>
      <c r="S201" s="118">
        <f>P201+R201</f>
        <v>18609.242652928657</v>
      </c>
    </row>
    <row r="202" spans="1:19" x14ac:dyDescent="0.2">
      <c r="A202" s="120"/>
      <c r="B202" s="123">
        <v>51502</v>
      </c>
      <c r="C202" s="119">
        <f t="shared" si="47"/>
        <v>0</v>
      </c>
      <c r="D202" s="119">
        <f t="shared" si="48"/>
        <v>0</v>
      </c>
      <c r="E202" s="119">
        <f t="shared" si="38"/>
        <v>0</v>
      </c>
      <c r="F202" s="119">
        <f t="shared" si="42"/>
        <v>0</v>
      </c>
      <c r="G202" s="120"/>
      <c r="H202" s="120"/>
      <c r="I202" s="119">
        <v>650</v>
      </c>
      <c r="J202" s="119"/>
      <c r="K202" s="119"/>
      <c r="L202" s="119"/>
      <c r="M202" s="119"/>
      <c r="N202" s="119">
        <f t="shared" si="49"/>
        <v>650</v>
      </c>
      <c r="O202" s="119"/>
      <c r="P202" s="120"/>
      <c r="Q202" s="120"/>
      <c r="R202" s="120"/>
      <c r="S202" s="120"/>
    </row>
    <row r="203" spans="1:19" x14ac:dyDescent="0.2">
      <c r="A203" s="120"/>
      <c r="B203" s="123">
        <v>51533</v>
      </c>
      <c r="C203" s="119">
        <f t="shared" si="47"/>
        <v>0</v>
      </c>
      <c r="D203" s="119">
        <f t="shared" si="48"/>
        <v>0</v>
      </c>
      <c r="E203" s="119">
        <f t="shared" si="38"/>
        <v>0</v>
      </c>
      <c r="F203" s="119">
        <f t="shared" si="42"/>
        <v>0</v>
      </c>
      <c r="G203" s="120"/>
      <c r="H203" s="120"/>
      <c r="I203" s="119">
        <v>650</v>
      </c>
      <c r="J203" s="119"/>
      <c r="K203" s="119"/>
      <c r="L203" s="119"/>
      <c r="M203" s="119"/>
      <c r="N203" s="119">
        <f t="shared" si="49"/>
        <v>650</v>
      </c>
      <c r="O203" s="119"/>
      <c r="P203" s="120"/>
      <c r="Q203" s="120"/>
      <c r="R203" s="120"/>
      <c r="S203" s="120"/>
    </row>
    <row r="204" spans="1:19" x14ac:dyDescent="0.2">
      <c r="A204" s="120"/>
      <c r="B204" s="123">
        <v>51561</v>
      </c>
      <c r="C204" s="119">
        <f t="shared" si="47"/>
        <v>0</v>
      </c>
      <c r="D204" s="119">
        <f t="shared" si="48"/>
        <v>0</v>
      </c>
      <c r="E204" s="119">
        <f t="shared" si="38"/>
        <v>0</v>
      </c>
      <c r="F204" s="119">
        <f t="shared" si="42"/>
        <v>0</v>
      </c>
      <c r="G204" s="120"/>
      <c r="H204" s="120"/>
      <c r="I204" s="119">
        <v>650</v>
      </c>
      <c r="J204" s="119"/>
      <c r="K204" s="119"/>
      <c r="L204" s="119"/>
      <c r="M204" s="119"/>
      <c r="N204" s="119">
        <f t="shared" si="49"/>
        <v>650</v>
      </c>
      <c r="O204" s="119"/>
      <c r="P204" s="120"/>
      <c r="Q204" s="120"/>
      <c r="R204" s="120"/>
      <c r="S204" s="120"/>
    </row>
    <row r="205" spans="1:19" x14ac:dyDescent="0.2">
      <c r="A205" s="120"/>
      <c r="B205" s="123">
        <v>51592</v>
      </c>
      <c r="C205" s="119">
        <f t="shared" si="47"/>
        <v>0</v>
      </c>
      <c r="D205" s="119">
        <f t="shared" si="48"/>
        <v>0</v>
      </c>
      <c r="E205" s="119">
        <f t="shared" si="38"/>
        <v>0</v>
      </c>
      <c r="F205" s="119">
        <f t="shared" si="42"/>
        <v>0</v>
      </c>
      <c r="G205" s="120"/>
      <c r="H205" s="120"/>
      <c r="I205" s="119">
        <v>650</v>
      </c>
      <c r="J205" s="119"/>
      <c r="K205" s="119"/>
      <c r="L205" s="119"/>
      <c r="M205" s="119"/>
      <c r="N205" s="119">
        <f t="shared" si="49"/>
        <v>650</v>
      </c>
      <c r="O205" s="119"/>
      <c r="P205" s="120"/>
      <c r="Q205" s="120"/>
      <c r="R205" s="120"/>
      <c r="S205" s="120"/>
    </row>
    <row r="206" spans="1:19" x14ac:dyDescent="0.2">
      <c r="A206" s="120"/>
      <c r="B206" s="123">
        <v>51622</v>
      </c>
      <c r="C206" s="119">
        <f t="shared" si="47"/>
        <v>0</v>
      </c>
      <c r="D206" s="119">
        <f t="shared" si="48"/>
        <v>0</v>
      </c>
      <c r="E206" s="119">
        <f t="shared" si="38"/>
        <v>0</v>
      </c>
      <c r="F206" s="119">
        <f t="shared" si="42"/>
        <v>0</v>
      </c>
      <c r="G206" s="120"/>
      <c r="H206" s="120"/>
      <c r="I206" s="119">
        <v>650</v>
      </c>
      <c r="J206" s="119"/>
      <c r="K206" s="119"/>
      <c r="L206" s="119"/>
      <c r="M206" s="119"/>
      <c r="N206" s="119">
        <f t="shared" si="49"/>
        <v>650</v>
      </c>
      <c r="O206" s="119"/>
      <c r="P206" s="120"/>
      <c r="Q206" s="120"/>
      <c r="R206" s="120"/>
      <c r="S206" s="120"/>
    </row>
    <row r="207" spans="1:19" x14ac:dyDescent="0.2">
      <c r="A207" s="120"/>
      <c r="B207" s="123">
        <v>51653</v>
      </c>
      <c r="C207" s="119">
        <f t="shared" si="47"/>
        <v>0</v>
      </c>
      <c r="D207" s="119">
        <f t="shared" si="48"/>
        <v>0</v>
      </c>
      <c r="E207" s="119">
        <f t="shared" si="38"/>
        <v>0</v>
      </c>
      <c r="F207" s="119">
        <f t="shared" si="42"/>
        <v>0</v>
      </c>
      <c r="G207" s="120"/>
      <c r="H207" s="120"/>
      <c r="I207" s="119">
        <v>650</v>
      </c>
      <c r="J207" s="119"/>
      <c r="K207" s="119"/>
      <c r="L207" s="119"/>
      <c r="M207" s="119"/>
      <c r="N207" s="119">
        <f t="shared" si="49"/>
        <v>650</v>
      </c>
      <c r="O207" s="119"/>
      <c r="P207" s="120"/>
      <c r="Q207" s="120"/>
      <c r="R207" s="120"/>
      <c r="S207" s="120"/>
    </row>
    <row r="208" spans="1:19" x14ac:dyDescent="0.2">
      <c r="A208" s="120"/>
      <c r="B208" s="123">
        <v>51683</v>
      </c>
      <c r="C208" s="119">
        <f t="shared" si="47"/>
        <v>0</v>
      </c>
      <c r="D208" s="119">
        <f t="shared" si="48"/>
        <v>0</v>
      </c>
      <c r="E208" s="119">
        <f t="shared" si="38"/>
        <v>0</v>
      </c>
      <c r="F208" s="119">
        <f t="shared" si="42"/>
        <v>0</v>
      </c>
      <c r="G208" s="120"/>
      <c r="H208" s="120"/>
      <c r="I208" s="119">
        <v>650</v>
      </c>
      <c r="J208" s="119"/>
      <c r="K208" s="119"/>
      <c r="L208" s="119"/>
      <c r="M208" s="119"/>
      <c r="N208" s="119">
        <f t="shared" si="49"/>
        <v>650</v>
      </c>
      <c r="O208" s="119"/>
      <c r="P208" s="120"/>
      <c r="Q208" s="120"/>
      <c r="R208" s="120"/>
      <c r="S208" s="120"/>
    </row>
    <row r="209" spans="1:23" x14ac:dyDescent="0.2">
      <c r="A209" s="120"/>
      <c r="B209" s="123">
        <v>51714</v>
      </c>
      <c r="C209" s="119">
        <f t="shared" si="47"/>
        <v>0</v>
      </c>
      <c r="D209" s="119">
        <f t="shared" si="48"/>
        <v>0</v>
      </c>
      <c r="E209" s="119">
        <f t="shared" si="38"/>
        <v>0</v>
      </c>
      <c r="F209" s="119">
        <f t="shared" si="42"/>
        <v>0</v>
      </c>
      <c r="G209" s="120"/>
      <c r="H209" s="120"/>
      <c r="I209" s="119">
        <v>650</v>
      </c>
      <c r="J209" s="119"/>
      <c r="K209" s="119"/>
      <c r="L209" s="119"/>
      <c r="M209" s="119"/>
      <c r="N209" s="119">
        <f t="shared" si="49"/>
        <v>650</v>
      </c>
      <c r="O209" s="119"/>
      <c r="P209" s="120"/>
      <c r="Q209" s="120"/>
      <c r="R209" s="120"/>
      <c r="S209" s="120"/>
    </row>
    <row r="210" spans="1:23" x14ac:dyDescent="0.2">
      <c r="A210" s="120"/>
      <c r="B210" s="123">
        <v>51745</v>
      </c>
      <c r="C210" s="119">
        <f t="shared" si="47"/>
        <v>0</v>
      </c>
      <c r="D210" s="119">
        <f t="shared" si="48"/>
        <v>0</v>
      </c>
      <c r="E210" s="119">
        <f t="shared" si="38"/>
        <v>0</v>
      </c>
      <c r="F210" s="119">
        <f t="shared" si="42"/>
        <v>0</v>
      </c>
      <c r="G210" s="120"/>
      <c r="H210" s="120"/>
      <c r="I210" s="119">
        <v>650</v>
      </c>
      <c r="J210" s="119"/>
      <c r="K210" s="119"/>
      <c r="L210" s="119"/>
      <c r="M210" s="119"/>
      <c r="N210" s="119">
        <f t="shared" si="49"/>
        <v>650</v>
      </c>
      <c r="O210" s="119"/>
      <c r="P210" s="120"/>
      <c r="Q210" s="120"/>
      <c r="R210" s="120"/>
      <c r="S210" s="120"/>
    </row>
    <row r="211" spans="1:23" s="4" customFormat="1" x14ac:dyDescent="0.2">
      <c r="A211" s="126"/>
      <c r="B211" s="124">
        <v>51775</v>
      </c>
      <c r="C211" s="125">
        <f t="shared" si="47"/>
        <v>0</v>
      </c>
      <c r="D211" s="125">
        <f t="shared" si="48"/>
        <v>0</v>
      </c>
      <c r="E211" s="125">
        <f t="shared" si="38"/>
        <v>0</v>
      </c>
      <c r="F211" s="125">
        <f t="shared" si="42"/>
        <v>0</v>
      </c>
      <c r="G211" s="126"/>
      <c r="H211" s="126"/>
      <c r="I211" s="125">
        <v>650</v>
      </c>
      <c r="J211" s="125"/>
      <c r="K211" s="125"/>
      <c r="L211" s="125"/>
      <c r="M211" s="125"/>
      <c r="N211" s="125">
        <f t="shared" si="49"/>
        <v>650</v>
      </c>
      <c r="O211" s="125"/>
      <c r="P211" s="126"/>
      <c r="Q211" s="126"/>
      <c r="R211" s="126"/>
      <c r="S211" s="126"/>
    </row>
    <row r="212" spans="1:23" x14ac:dyDescent="0.2">
      <c r="A212" s="120"/>
      <c r="B212" s="123">
        <v>51806</v>
      </c>
      <c r="C212" s="119">
        <f t="shared" si="47"/>
        <v>0</v>
      </c>
      <c r="D212" s="119">
        <f t="shared" si="48"/>
        <v>0</v>
      </c>
      <c r="E212" s="119">
        <f t="shared" si="38"/>
        <v>0</v>
      </c>
      <c r="F212" s="119">
        <f t="shared" si="42"/>
        <v>0</v>
      </c>
      <c r="G212" s="120"/>
      <c r="H212" s="120"/>
      <c r="I212" s="119">
        <v>650</v>
      </c>
      <c r="J212" s="118">
        <f>SUM(E200:E212)+G208</f>
        <v>0</v>
      </c>
      <c r="K212" s="118">
        <f>SUM(I202:I212)-SUM(D202:D212)</f>
        <v>7150</v>
      </c>
      <c r="L212" s="118"/>
      <c r="M212" s="118">
        <v>2500</v>
      </c>
      <c r="N212" s="119">
        <f t="shared" si="49"/>
        <v>650</v>
      </c>
      <c r="O212" s="118">
        <f>SUM(N200:N212)+L212+M212</f>
        <v>10950</v>
      </c>
      <c r="P212" s="118">
        <f>K212+L212+M212</f>
        <v>9650</v>
      </c>
      <c r="Q212" s="122"/>
      <c r="R212" s="118">
        <f>(C$222 +R201+R19+R32+R45+R58+R71+R84+R97+R110 +R123+R136 +R149 +R162+R175+ R188) * W$2</f>
        <v>8468.2111015432401</v>
      </c>
      <c r="S212" s="118">
        <f>P212+R212</f>
        <v>18118.211101543238</v>
      </c>
    </row>
    <row r="213" spans="1:23" ht="6.75" customHeight="1" x14ac:dyDescent="0.2">
      <c r="A213" s="5"/>
      <c r="B213" s="5"/>
      <c r="C213" s="127"/>
      <c r="D213" s="5"/>
      <c r="E213" s="5"/>
      <c r="F213" s="127"/>
      <c r="G213" s="5"/>
      <c r="H213" s="5"/>
      <c r="I213" s="127"/>
      <c r="J213" s="127"/>
      <c r="K213" s="127"/>
      <c r="L213" s="127"/>
      <c r="M213" s="127"/>
      <c r="N213" s="127"/>
      <c r="O213" s="127"/>
      <c r="P213" s="5"/>
      <c r="Q213" s="5"/>
      <c r="R213" s="5"/>
      <c r="S213" s="5"/>
      <c r="T213" s="5"/>
      <c r="U213" s="5"/>
      <c r="V213" s="5"/>
      <c r="W213" s="5"/>
    </row>
    <row r="214" spans="1:23" x14ac:dyDescent="0.2">
      <c r="B214" s="90" t="s">
        <v>27</v>
      </c>
      <c r="D214" s="111">
        <f>SUM(D4:D212)</f>
        <v>78679.667648905277</v>
      </c>
      <c r="E214" s="111">
        <f>SUM(E4:E212)</f>
        <v>148428.16235109471</v>
      </c>
      <c r="F214" s="111">
        <f>SUM(F4:F212)</f>
        <v>227107.83000000002</v>
      </c>
      <c r="G214" s="111">
        <f>SUM(G3:G212)</f>
        <v>214338.8</v>
      </c>
      <c r="H214" s="111">
        <f>SUM(H2:H212)</f>
        <v>24661.200000000001</v>
      </c>
      <c r="I214" s="111">
        <f>SUM(I2:I211)</f>
        <v>119600</v>
      </c>
      <c r="J214" s="111">
        <f>SUM(J2:J212)</f>
        <v>362766.9623510947</v>
      </c>
      <c r="K214" s="111">
        <f>SUM(K2:K212)</f>
        <v>41570.332351094752</v>
      </c>
      <c r="L214" s="111">
        <f>SUM(L2:L212)</f>
        <v>1840</v>
      </c>
      <c r="M214" s="111">
        <f>SUM(M2:M212)</f>
        <v>41073</v>
      </c>
      <c r="N214" s="111"/>
      <c r="O214" s="111">
        <f>SUM(O2:O212)</f>
        <v>-78877.867648905216</v>
      </c>
      <c r="P214" s="111">
        <f>SUM(P2:P212)</f>
        <v>59822.132351094755</v>
      </c>
      <c r="Q214" s="113">
        <f>SUM(Q4:Q212)/17</f>
        <v>0.3516731544000456</v>
      </c>
      <c r="R214" s="116">
        <f>SUM(R4:R212)</f>
        <v>118924.38340950097</v>
      </c>
      <c r="S214" s="116">
        <f>R214+P214</f>
        <v>178746.51576059574</v>
      </c>
      <c r="T214" s="86"/>
    </row>
    <row r="215" spans="1:23" x14ac:dyDescent="0.2">
      <c r="G215" s="90">
        <f>SUM(G4:G212)</f>
        <v>140000</v>
      </c>
      <c r="R215" t="s">
        <v>199</v>
      </c>
      <c r="T215" s="61">
        <f>(S214)/C221</f>
        <v>0.58876666562667002</v>
      </c>
    </row>
    <row r="216" spans="1:23" x14ac:dyDescent="0.2">
      <c r="M216" s="90" t="s">
        <v>225</v>
      </c>
      <c r="N216" s="90">
        <f>700*12</f>
        <v>8400</v>
      </c>
      <c r="R216" t="s">
        <v>200</v>
      </c>
      <c r="T216" s="61">
        <f>T215/15</f>
        <v>3.9251111041778003E-2</v>
      </c>
    </row>
    <row r="217" spans="1:23" x14ac:dyDescent="0.2">
      <c r="F217"/>
      <c r="J217" s="63"/>
      <c r="M217" s="90" t="s">
        <v>224</v>
      </c>
      <c r="N217" s="90">
        <f>N216*14</f>
        <v>117600</v>
      </c>
      <c r="O217" s="111">
        <f>O214+N217</f>
        <v>38722.132351094784</v>
      </c>
    </row>
    <row r="218" spans="1:23" x14ac:dyDescent="0.2">
      <c r="A218" s="3"/>
      <c r="B218" s="3" t="s">
        <v>193</v>
      </c>
      <c r="C218" s="111">
        <f>F214+G214+H214</f>
        <v>466107.83</v>
      </c>
      <c r="D218" s="90"/>
    </row>
    <row r="219" spans="1:23" x14ac:dyDescent="0.2">
      <c r="A219" s="3"/>
      <c r="B219" s="3" t="s">
        <v>62</v>
      </c>
      <c r="C219" s="90">
        <f>I214</f>
        <v>119600</v>
      </c>
    </row>
    <row r="220" spans="1:23" x14ac:dyDescent="0.2">
      <c r="A220" s="3"/>
      <c r="B220" s="3" t="s">
        <v>208</v>
      </c>
      <c r="C220" s="90">
        <f>M214+L214</f>
        <v>42913</v>
      </c>
    </row>
    <row r="221" spans="1:23" x14ac:dyDescent="0.2">
      <c r="A221" s="3"/>
      <c r="B221" s="3" t="s">
        <v>194</v>
      </c>
      <c r="C221" s="90">
        <f>C218-C219-C220</f>
        <v>303594.83</v>
      </c>
      <c r="D221" s="90"/>
      <c r="E221" s="170"/>
      <c r="F221" s="170"/>
    </row>
    <row r="222" spans="1:23" x14ac:dyDescent="0.2">
      <c r="A222" s="3"/>
      <c r="B222" s="3" t="s">
        <v>195</v>
      </c>
      <c r="C222" s="90">
        <v>360000</v>
      </c>
    </row>
    <row r="223" spans="1:23" x14ac:dyDescent="0.2">
      <c r="A223" s="3"/>
      <c r="B223" s="3" t="s">
        <v>52</v>
      </c>
      <c r="C223" s="90">
        <v>288000</v>
      </c>
      <c r="D223" s="90"/>
    </row>
    <row r="224" spans="1:23" x14ac:dyDescent="0.2">
      <c r="A224" s="3"/>
      <c r="B224" s="3" t="s">
        <v>196</v>
      </c>
      <c r="C224" s="90">
        <f>F214+SUM(G4:G212)</f>
        <v>367107.83</v>
      </c>
    </row>
    <row r="225" spans="1:5" x14ac:dyDescent="0.2">
      <c r="A225" s="3"/>
      <c r="B225" s="3" t="s">
        <v>209</v>
      </c>
      <c r="C225" s="90">
        <f>D214</f>
        <v>78679.667648905277</v>
      </c>
    </row>
    <row r="226" spans="1:5" x14ac:dyDescent="0.2">
      <c r="A226" s="3"/>
      <c r="B226" s="3" t="s">
        <v>205</v>
      </c>
      <c r="C226" s="90">
        <f>H214</f>
        <v>24661.200000000001</v>
      </c>
    </row>
    <row r="227" spans="1:5" x14ac:dyDescent="0.2">
      <c r="A227" s="3"/>
      <c r="B227" s="3" t="s">
        <v>210</v>
      </c>
      <c r="C227" s="90">
        <f>G3</f>
        <v>74338.8</v>
      </c>
    </row>
    <row r="228" spans="1:5" x14ac:dyDescent="0.2">
      <c r="A228" s="3"/>
      <c r="B228" s="3" t="s">
        <v>206</v>
      </c>
      <c r="C228" s="90">
        <f>C219-C225-C226</f>
        <v>16259.132351094722</v>
      </c>
      <c r="D228" s="90"/>
    </row>
    <row r="229" spans="1:5" x14ac:dyDescent="0.2">
      <c r="B229" s="90"/>
    </row>
    <row r="231" spans="1:5" x14ac:dyDescent="0.2">
      <c r="A231" s="3"/>
      <c r="B231" s="3" t="s">
        <v>211</v>
      </c>
      <c r="C231" s="90" t="s">
        <v>215</v>
      </c>
      <c r="D231" t="s">
        <v>212</v>
      </c>
      <c r="E231">
        <v>30</v>
      </c>
    </row>
    <row r="233" spans="1:5" x14ac:dyDescent="0.2">
      <c r="A233" s="3"/>
      <c r="B233" s="3" t="s">
        <v>40</v>
      </c>
      <c r="C233" s="133">
        <v>900</v>
      </c>
      <c r="D233" s="133">
        <f>C233*12</f>
        <v>10800</v>
      </c>
      <c r="E233" s="134">
        <f>D233*E231</f>
        <v>324000</v>
      </c>
    </row>
    <row r="234" spans="1:5" x14ac:dyDescent="0.2">
      <c r="B234" t="s">
        <v>213</v>
      </c>
      <c r="C234" s="133"/>
      <c r="D234" s="133"/>
      <c r="E234" s="134">
        <f>E233*1.1</f>
        <v>356400</v>
      </c>
    </row>
    <row r="235" spans="1:5" x14ac:dyDescent="0.2">
      <c r="C235" s="133"/>
      <c r="D235" s="133"/>
      <c r="E235" s="134"/>
    </row>
    <row r="236" spans="1:5" x14ac:dyDescent="0.2">
      <c r="A236" s="3"/>
      <c r="B236" s="3" t="s">
        <v>214</v>
      </c>
      <c r="C236" s="133"/>
      <c r="D236" s="133"/>
      <c r="E236" s="134"/>
    </row>
    <row r="237" spans="1:5" x14ac:dyDescent="0.2">
      <c r="B237" t="s">
        <v>216</v>
      </c>
      <c r="C237" s="133"/>
      <c r="D237" s="133">
        <v>8868</v>
      </c>
      <c r="E237" s="134">
        <f>D237*E231</f>
        <v>266040</v>
      </c>
    </row>
    <row r="238" spans="1:5" x14ac:dyDescent="0.2">
      <c r="B238" t="s">
        <v>217</v>
      </c>
      <c r="C238" s="133"/>
      <c r="D238" s="133"/>
      <c r="E238" s="134">
        <f>E237*0.9</f>
        <v>239436</v>
      </c>
    </row>
    <row r="239" spans="1:5" x14ac:dyDescent="0.2">
      <c r="B239" t="s">
        <v>218</v>
      </c>
      <c r="C239" s="133"/>
      <c r="D239" s="133"/>
      <c r="E239" s="134">
        <v>87500</v>
      </c>
    </row>
    <row r="240" spans="1:5" x14ac:dyDescent="0.2">
      <c r="B240" t="s">
        <v>217</v>
      </c>
      <c r="E240" s="134">
        <f>E239*0.9</f>
        <v>78750</v>
      </c>
    </row>
    <row r="241" spans="5:5" x14ac:dyDescent="0.2">
      <c r="E241" s="7">
        <f>E240+E238</f>
        <v>318186</v>
      </c>
    </row>
  </sheetData>
  <conditionalFormatting sqref="K2:K2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9:N1048576 N1:N2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2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B811-4FA5-442F-BAE7-0489E5B7DB23}">
  <dimension ref="A1:V401"/>
  <sheetViews>
    <sheetView zoomScaleNormal="100" workbookViewId="0">
      <pane ySplit="1" topLeftCell="A2" activePane="bottomLeft" state="frozen"/>
      <selection pane="bottomLeft" activeCell="F390" sqref="F390"/>
    </sheetView>
  </sheetViews>
  <sheetFormatPr baseColWidth="10" defaultRowHeight="14.25" x14ac:dyDescent="0.2"/>
  <cols>
    <col min="2" max="2" width="16.875" bestFit="1" customWidth="1"/>
    <col min="3" max="3" width="17.25" style="90" bestFit="1" customWidth="1"/>
    <col min="4" max="4" width="11.5" bestFit="1" customWidth="1"/>
    <col min="5" max="5" width="15.125" bestFit="1" customWidth="1"/>
    <col min="6" max="6" width="13.875" style="90" bestFit="1" customWidth="1"/>
    <col min="7" max="7" width="12.5" bestFit="1" customWidth="1"/>
    <col min="8" max="8" width="12.375" customWidth="1"/>
    <col min="9" max="9" width="12.875" style="90" bestFit="1" customWidth="1"/>
    <col min="10" max="10" width="8.5" bestFit="1" customWidth="1"/>
    <col min="11" max="11" width="12.5" style="90" bestFit="1" customWidth="1"/>
    <col min="12" max="12" width="15" style="90" customWidth="1"/>
    <col min="13" max="13" width="16.75" style="90" bestFit="1" customWidth="1"/>
    <col min="14" max="14" width="14" style="90" customWidth="1"/>
    <col min="15" max="15" width="11.375" style="90" bestFit="1" customWidth="1"/>
    <col min="16" max="16" width="12.25" style="90" bestFit="1" customWidth="1"/>
    <col min="17" max="17" width="15.25" customWidth="1"/>
    <col min="18" max="18" width="6.875" bestFit="1" customWidth="1"/>
    <col min="19" max="19" width="7.5" bestFit="1" customWidth="1"/>
    <col min="20" max="20" width="9.25" bestFit="1" customWidth="1"/>
    <col min="21" max="21" width="10" bestFit="1" customWidth="1"/>
    <col min="22" max="22" width="13.25" bestFit="1" customWidth="1"/>
  </cols>
  <sheetData>
    <row r="1" spans="1:22" s="129" customFormat="1" ht="29.25" customHeight="1" x14ac:dyDescent="0.2">
      <c r="A1" s="129" t="s">
        <v>219</v>
      </c>
      <c r="B1" s="128" t="s">
        <v>183</v>
      </c>
      <c r="C1" s="114" t="s">
        <v>179</v>
      </c>
      <c r="D1" s="128" t="s">
        <v>180</v>
      </c>
      <c r="E1" s="128" t="s">
        <v>181</v>
      </c>
      <c r="F1" s="114" t="s">
        <v>102</v>
      </c>
      <c r="G1" s="128" t="s">
        <v>184</v>
      </c>
      <c r="H1" s="128" t="s">
        <v>192</v>
      </c>
      <c r="I1" s="114" t="s">
        <v>62</v>
      </c>
      <c r="J1" s="128" t="s">
        <v>226</v>
      </c>
      <c r="K1" s="114" t="s">
        <v>201</v>
      </c>
      <c r="L1" s="114" t="s">
        <v>191</v>
      </c>
      <c r="M1" s="114" t="s">
        <v>185</v>
      </c>
      <c r="N1" s="114" t="s">
        <v>186</v>
      </c>
      <c r="O1" s="114" t="s">
        <v>187</v>
      </c>
      <c r="P1" s="114" t="s">
        <v>188</v>
      </c>
      <c r="Q1" s="114" t="s">
        <v>207</v>
      </c>
      <c r="R1" s="114" t="s">
        <v>190</v>
      </c>
      <c r="S1" s="128" t="s">
        <v>182</v>
      </c>
      <c r="T1" s="128" t="s">
        <v>189</v>
      </c>
      <c r="U1" s="114" t="s">
        <v>51</v>
      </c>
      <c r="V1" s="114" t="s">
        <v>197</v>
      </c>
    </row>
    <row r="2" spans="1:22" x14ac:dyDescent="0.2">
      <c r="B2" s="117"/>
      <c r="C2" s="118"/>
      <c r="D2" s="117"/>
      <c r="E2" s="117"/>
      <c r="F2" s="118"/>
      <c r="G2" s="117"/>
      <c r="H2" s="117"/>
      <c r="I2" s="118"/>
      <c r="J2" s="117">
        <v>80</v>
      </c>
      <c r="K2" s="118"/>
      <c r="L2" s="118"/>
      <c r="M2" s="119"/>
      <c r="N2" s="119"/>
      <c r="O2" s="118"/>
      <c r="P2" s="118"/>
      <c r="Q2" s="120"/>
      <c r="R2" s="120"/>
      <c r="S2" s="86">
        <v>3.4799999999999998E-2</v>
      </c>
      <c r="T2" s="86">
        <v>0.3</v>
      </c>
      <c r="U2" s="90">
        <v>92000</v>
      </c>
      <c r="V2" s="115">
        <v>1.7999999999999999E-2</v>
      </c>
    </row>
    <row r="3" spans="1:22" x14ac:dyDescent="0.2">
      <c r="B3" s="132">
        <v>45901</v>
      </c>
      <c r="C3" s="130"/>
      <c r="D3" s="131"/>
      <c r="E3" s="131"/>
      <c r="F3" s="130"/>
      <c r="G3" s="130">
        <f>U2-H3</f>
        <v>74338.8</v>
      </c>
      <c r="H3" s="130">
        <v>17661.2</v>
      </c>
      <c r="I3" s="130"/>
      <c r="J3" s="131"/>
      <c r="K3" s="131"/>
      <c r="L3" s="131"/>
      <c r="M3" s="130"/>
      <c r="N3" s="130"/>
      <c r="O3" s="130">
        <f>-H3</f>
        <v>-17661.2</v>
      </c>
      <c r="P3" s="130"/>
      <c r="Q3" s="131"/>
      <c r="R3" s="131"/>
      <c r="T3" s="86"/>
    </row>
    <row r="4" spans="1:22" x14ac:dyDescent="0.2">
      <c r="B4" s="132">
        <v>45931</v>
      </c>
      <c r="C4" s="130"/>
      <c r="D4" s="130">
        <v>548.58000000000004</v>
      </c>
      <c r="E4" s="130">
        <v>0</v>
      </c>
      <c r="F4" s="130">
        <v>548.58000000000004</v>
      </c>
      <c r="G4" s="131"/>
      <c r="H4" s="131"/>
      <c r="I4" s="130"/>
      <c r="J4" s="131"/>
      <c r="K4" s="130"/>
      <c r="L4" s="130"/>
      <c r="M4" s="130"/>
      <c r="N4" s="130"/>
      <c r="O4" s="130">
        <v>-548.58000000000004</v>
      </c>
      <c r="P4" s="130"/>
      <c r="Q4" s="131"/>
      <c r="R4" s="131"/>
      <c r="T4" s="86"/>
    </row>
    <row r="5" spans="1:22" x14ac:dyDescent="0.2">
      <c r="B5" s="132">
        <v>45962</v>
      </c>
      <c r="C5" s="130"/>
      <c r="D5" s="130">
        <v>623.5</v>
      </c>
      <c r="E5" s="130">
        <v>0</v>
      </c>
      <c r="F5" s="130">
        <v>623.5</v>
      </c>
      <c r="G5" s="131"/>
      <c r="H5" s="131"/>
      <c r="I5" s="130"/>
      <c r="J5" s="131"/>
      <c r="K5" s="130"/>
      <c r="L5" s="130"/>
      <c r="M5" s="130"/>
      <c r="N5" s="130"/>
      <c r="O5" s="130">
        <v>-623.5</v>
      </c>
      <c r="P5" s="130"/>
      <c r="Q5" s="131"/>
      <c r="R5" s="131"/>
      <c r="T5" s="86"/>
    </row>
    <row r="6" spans="1:22" s="3" customFormat="1" x14ac:dyDescent="0.2">
      <c r="B6" s="121">
        <v>45992</v>
      </c>
      <c r="C6" s="118"/>
      <c r="D6" s="118">
        <v>623.5</v>
      </c>
      <c r="E6" s="118">
        <v>0</v>
      </c>
      <c r="F6" s="118">
        <v>623.5</v>
      </c>
      <c r="G6" s="117"/>
      <c r="H6" s="117"/>
      <c r="I6" s="118"/>
      <c r="J6" s="117"/>
      <c r="K6" s="118">
        <f>U2-H3</f>
        <v>74338.8</v>
      </c>
      <c r="L6" s="118">
        <f>0-SUM(D3:D6)</f>
        <v>-1795.58</v>
      </c>
      <c r="M6" s="118"/>
      <c r="N6" s="119">
        <v>533</v>
      </c>
      <c r="O6" s="118">
        <v>-623.5</v>
      </c>
      <c r="P6" s="118">
        <f>SUM(O3:O6)+N6</f>
        <v>-18923.780000000002</v>
      </c>
      <c r="Q6" s="118">
        <f>L6+N6-H3</f>
        <v>-18923.78</v>
      </c>
      <c r="R6" s="122">
        <f>Q6/K6</f>
        <v>-0.25456127890146191</v>
      </c>
      <c r="T6" s="112"/>
    </row>
    <row r="7" spans="1:22" x14ac:dyDescent="0.2">
      <c r="B7" s="123">
        <v>46023</v>
      </c>
      <c r="C7" s="119"/>
      <c r="D7" s="119">
        <v>623.5</v>
      </c>
      <c r="E7" s="119">
        <v>0</v>
      </c>
      <c r="F7" s="119">
        <v>623.5</v>
      </c>
      <c r="G7" s="120"/>
      <c r="H7" s="119">
        <v>4000</v>
      </c>
      <c r="I7" s="119"/>
      <c r="J7" s="120"/>
      <c r="K7" s="119"/>
      <c r="L7" s="119"/>
      <c r="M7" s="119"/>
      <c r="N7" s="119"/>
      <c r="O7" s="119">
        <v>-4623.5</v>
      </c>
      <c r="P7" s="119"/>
      <c r="Q7" s="120"/>
      <c r="R7" s="120"/>
      <c r="T7" s="86"/>
    </row>
    <row r="8" spans="1:22" x14ac:dyDescent="0.2">
      <c r="B8" s="123">
        <v>46054</v>
      </c>
      <c r="C8" s="119"/>
      <c r="D8" s="119">
        <v>700</v>
      </c>
      <c r="E8" s="119">
        <v>0</v>
      </c>
      <c r="F8" s="119">
        <v>700</v>
      </c>
      <c r="G8" s="120"/>
      <c r="H8" s="120"/>
      <c r="I8" s="119"/>
      <c r="J8" s="120"/>
      <c r="K8" s="119"/>
      <c r="L8" s="119"/>
      <c r="M8" s="119"/>
      <c r="N8" s="119"/>
      <c r="O8" s="119">
        <v>-623.5</v>
      </c>
      <c r="P8" s="119"/>
      <c r="Q8" s="120"/>
      <c r="R8" s="120"/>
      <c r="T8" s="86"/>
    </row>
    <row r="9" spans="1:22" x14ac:dyDescent="0.2">
      <c r="B9" s="123">
        <v>46082</v>
      </c>
      <c r="C9" s="119"/>
      <c r="D9" s="119">
        <v>750</v>
      </c>
      <c r="E9" s="119">
        <v>0</v>
      </c>
      <c r="F9" s="119">
        <v>750</v>
      </c>
      <c r="G9" s="120"/>
      <c r="H9" s="120"/>
      <c r="I9" s="119"/>
      <c r="J9" s="120"/>
      <c r="K9" s="119"/>
      <c r="L9" s="119"/>
      <c r="M9" s="119"/>
      <c r="N9" s="119"/>
      <c r="O9" s="119">
        <v>-623.5</v>
      </c>
      <c r="P9" s="119"/>
      <c r="Q9" s="120"/>
      <c r="R9" s="120"/>
      <c r="T9" s="86"/>
    </row>
    <row r="10" spans="1:22" x14ac:dyDescent="0.2">
      <c r="B10" s="123">
        <v>46113</v>
      </c>
      <c r="C10" s="119">
        <v>288000</v>
      </c>
      <c r="D10" s="119">
        <f>(C10*S2)/12</f>
        <v>835.19999999999993</v>
      </c>
      <c r="E10" s="119">
        <f>F10-D10</f>
        <v>515.80000000000007</v>
      </c>
      <c r="F10" s="119">
        <v>1351</v>
      </c>
      <c r="G10" s="120"/>
      <c r="H10" s="120"/>
      <c r="I10" s="119">
        <v>700</v>
      </c>
      <c r="J10" s="120"/>
      <c r="K10" s="119"/>
      <c r="L10" s="119"/>
      <c r="M10" s="119"/>
      <c r="N10" s="119"/>
      <c r="O10" s="119">
        <f>I10-D10</f>
        <v>-135.19999999999993</v>
      </c>
      <c r="P10" s="119"/>
      <c r="Q10" s="120"/>
      <c r="R10" s="120"/>
    </row>
    <row r="11" spans="1:22" x14ac:dyDescent="0.2">
      <c r="B11" s="123">
        <v>46143</v>
      </c>
      <c r="C11" s="119">
        <f>C10-E10</f>
        <v>287484.2</v>
      </c>
      <c r="D11" s="119">
        <f>(C11*S$2)/12</f>
        <v>833.70418000000006</v>
      </c>
      <c r="E11" s="119">
        <f>F11-D11</f>
        <v>517.29581999999994</v>
      </c>
      <c r="F11" s="119">
        <v>1351</v>
      </c>
      <c r="G11" s="120"/>
      <c r="H11" s="120"/>
      <c r="I11" s="119">
        <v>700</v>
      </c>
      <c r="J11" s="120"/>
      <c r="K11" s="119"/>
      <c r="L11" s="119"/>
      <c r="M11" s="119"/>
      <c r="N11" s="119"/>
      <c r="O11" s="119">
        <f>I11-D11</f>
        <v>-133.70418000000006</v>
      </c>
      <c r="P11" s="119"/>
      <c r="Q11" s="120"/>
      <c r="R11" s="120"/>
    </row>
    <row r="12" spans="1:22" x14ac:dyDescent="0.2">
      <c r="B12" s="123">
        <v>46174</v>
      </c>
      <c r="C12" s="119">
        <f>C11-E11</f>
        <v>286966.90418000001</v>
      </c>
      <c r="D12" s="119">
        <f>(C12*S$2)/12</f>
        <v>832.20402212199997</v>
      </c>
      <c r="E12" s="119">
        <f t="shared" ref="E12:E79" si="0">F12-D12</f>
        <v>518.79597787800003</v>
      </c>
      <c r="F12" s="119">
        <v>1351</v>
      </c>
      <c r="G12" s="120"/>
      <c r="H12" s="120"/>
      <c r="I12" s="119">
        <v>700</v>
      </c>
      <c r="J12" s="120"/>
      <c r="K12" s="119"/>
      <c r="L12" s="119"/>
      <c r="M12" s="119"/>
      <c r="N12" s="119"/>
      <c r="O12" s="119">
        <f>I12-D12</f>
        <v>-132.20402212199997</v>
      </c>
      <c r="P12" s="119"/>
      <c r="Q12" s="120"/>
      <c r="R12" s="120"/>
    </row>
    <row r="13" spans="1:22" x14ac:dyDescent="0.2">
      <c r="B13" s="123">
        <v>46204</v>
      </c>
      <c r="C13" s="119">
        <f t="shared" ref="C13:C76" si="1">C12-E12</f>
        <v>286448.10820212204</v>
      </c>
      <c r="D13" s="119">
        <f>(C13*S$2)/12</f>
        <v>830.69951378615394</v>
      </c>
      <c r="E13" s="119">
        <f t="shared" si="0"/>
        <v>520.30048621384606</v>
      </c>
      <c r="F13" s="119">
        <v>1351</v>
      </c>
      <c r="G13" s="120"/>
      <c r="H13" s="120"/>
      <c r="I13" s="119">
        <v>700</v>
      </c>
      <c r="J13" s="120"/>
      <c r="K13" s="119"/>
      <c r="L13" s="119"/>
      <c r="M13" s="119"/>
      <c r="N13" s="119"/>
      <c r="O13" s="119">
        <f>I13-D13</f>
        <v>-130.69951378615394</v>
      </c>
      <c r="P13" s="119"/>
      <c r="Q13" s="120"/>
      <c r="R13" s="120"/>
    </row>
    <row r="14" spans="1:22" x14ac:dyDescent="0.2">
      <c r="B14" s="123">
        <v>46235</v>
      </c>
      <c r="C14" s="119">
        <f t="shared" si="1"/>
        <v>285927.80771590822</v>
      </c>
      <c r="D14" s="119">
        <f>(C14*S$2)/12</f>
        <v>829.19064237613384</v>
      </c>
      <c r="E14" s="119">
        <f t="shared" si="0"/>
        <v>521.80935762386616</v>
      </c>
      <c r="F14" s="119">
        <v>1351</v>
      </c>
      <c r="G14" s="120"/>
      <c r="H14" s="120"/>
      <c r="I14" s="119">
        <v>700</v>
      </c>
      <c r="J14" s="120"/>
      <c r="K14" s="119"/>
      <c r="L14" s="119"/>
      <c r="M14" s="119"/>
      <c r="N14" s="119"/>
      <c r="O14" s="119">
        <f>I14-D14</f>
        <v>-129.19064237613384</v>
      </c>
      <c r="P14" s="119"/>
      <c r="Q14" s="120"/>
      <c r="R14" s="120"/>
    </row>
    <row r="15" spans="1:22" x14ac:dyDescent="0.2">
      <c r="B15" s="123">
        <v>46265</v>
      </c>
      <c r="C15" s="119">
        <f t="shared" si="1"/>
        <v>285405.99835828436</v>
      </c>
      <c r="D15" s="119">
        <v>0</v>
      </c>
      <c r="E15" s="119">
        <v>0</v>
      </c>
      <c r="F15" s="119">
        <v>0</v>
      </c>
      <c r="G15" s="119"/>
      <c r="H15" s="119"/>
      <c r="I15" s="119"/>
      <c r="J15" s="120"/>
      <c r="K15" s="119"/>
      <c r="L15" s="119"/>
      <c r="M15" s="119"/>
      <c r="N15" s="119"/>
      <c r="O15" s="119">
        <f>D15-G15</f>
        <v>0</v>
      </c>
      <c r="P15" s="119"/>
      <c r="Q15" s="120"/>
      <c r="R15" s="120"/>
    </row>
    <row r="16" spans="1:22" x14ac:dyDescent="0.2">
      <c r="B16" s="123">
        <v>46266</v>
      </c>
      <c r="C16" s="119">
        <f>C15-G15</f>
        <v>285405.99835828436</v>
      </c>
      <c r="D16" s="119">
        <f t="shared" ref="D16:D27" si="2">(C16*S$2)/12</f>
        <v>827.67739523902458</v>
      </c>
      <c r="E16" s="119">
        <f t="shared" si="0"/>
        <v>523.32260476097542</v>
      </c>
      <c r="F16" s="119">
        <v>1351</v>
      </c>
      <c r="G16" s="120"/>
      <c r="H16" s="120"/>
      <c r="I16" s="119">
        <v>700</v>
      </c>
      <c r="J16" s="120"/>
      <c r="K16" s="119"/>
      <c r="L16" s="119"/>
      <c r="M16" s="119"/>
      <c r="N16" s="119"/>
      <c r="O16" s="119">
        <f t="shared" ref="O16:O27" si="3">I16-D16</f>
        <v>-127.67739523902458</v>
      </c>
      <c r="P16" s="119"/>
      <c r="Q16" s="120"/>
      <c r="R16" s="120"/>
    </row>
    <row r="17" spans="1:19" x14ac:dyDescent="0.2">
      <c r="B17" s="123">
        <v>46296</v>
      </c>
      <c r="C17" s="119">
        <f t="shared" si="1"/>
        <v>284882.67575352336</v>
      </c>
      <c r="D17" s="119">
        <f t="shared" si="2"/>
        <v>826.15975968521764</v>
      </c>
      <c r="E17" s="119">
        <f t="shared" si="0"/>
        <v>524.84024031478236</v>
      </c>
      <c r="F17" s="119">
        <v>1351</v>
      </c>
      <c r="G17" s="120"/>
      <c r="H17" s="120"/>
      <c r="I17" s="119">
        <v>700</v>
      </c>
      <c r="J17" s="120"/>
      <c r="K17" s="119"/>
      <c r="L17" s="119"/>
      <c r="M17" s="119"/>
      <c r="N17" s="119"/>
      <c r="O17" s="119">
        <f t="shared" si="3"/>
        <v>-126.15975968521764</v>
      </c>
      <c r="P17" s="119"/>
      <c r="Q17" s="120"/>
      <c r="R17" s="120"/>
    </row>
    <row r="18" spans="1:19" x14ac:dyDescent="0.2">
      <c r="B18" s="123">
        <v>46327</v>
      </c>
      <c r="C18" s="119">
        <f t="shared" si="1"/>
        <v>284357.83551320859</v>
      </c>
      <c r="D18" s="119">
        <f t="shared" si="2"/>
        <v>824.63772298830474</v>
      </c>
      <c r="E18" s="119">
        <f t="shared" si="0"/>
        <v>526.36227701169526</v>
      </c>
      <c r="F18" s="119">
        <v>1351</v>
      </c>
      <c r="G18" s="120"/>
      <c r="H18" s="120"/>
      <c r="I18" s="119">
        <v>700</v>
      </c>
      <c r="J18" s="120"/>
      <c r="K18" s="119"/>
      <c r="L18" s="119"/>
      <c r="M18" s="119"/>
      <c r="N18" s="119"/>
      <c r="O18" s="119">
        <f t="shared" si="3"/>
        <v>-124.63772298830474</v>
      </c>
      <c r="P18" s="119"/>
      <c r="Q18" s="120"/>
      <c r="R18" s="120"/>
    </row>
    <row r="19" spans="1:19" s="3" customFormat="1" x14ac:dyDescent="0.2">
      <c r="A19" s="3">
        <v>1</v>
      </c>
      <c r="B19" s="121">
        <v>46357</v>
      </c>
      <c r="C19" s="118">
        <f t="shared" si="1"/>
        <v>283831.47323619691</v>
      </c>
      <c r="D19" s="118">
        <f t="shared" si="2"/>
        <v>823.11127238497102</v>
      </c>
      <c r="E19" s="118">
        <f t="shared" si="0"/>
        <v>527.88872761502898</v>
      </c>
      <c r="F19" s="118">
        <v>1351</v>
      </c>
      <c r="G19" s="117"/>
      <c r="H19" s="117"/>
      <c r="I19" s="118">
        <v>700</v>
      </c>
      <c r="J19" s="118">
        <f>(I19/$J$2)/0.66</f>
        <v>13.257575757575758</v>
      </c>
      <c r="K19" s="118">
        <f>SUM(E7:E19)+G15</f>
        <v>4696.4154914181945</v>
      </c>
      <c r="L19" s="118">
        <f>SUM(I7:I19)-SUM(D7:D19)</f>
        <v>-3236.0845085818073</v>
      </c>
      <c r="M19" s="118">
        <v>230</v>
      </c>
      <c r="N19" s="118">
        <v>3040</v>
      </c>
      <c r="O19" s="118">
        <f t="shared" si="3"/>
        <v>-123.11127238497102</v>
      </c>
      <c r="P19" s="118">
        <f>SUM(O7:O19)+M19+N19</f>
        <v>-3763.0845085818055</v>
      </c>
      <c r="Q19" s="118">
        <f>L19+M19+N19-H7</f>
        <v>-3966.0845085818073</v>
      </c>
      <c r="R19" s="122">
        <f>Q19/K19</f>
        <v>-0.84449182910436094</v>
      </c>
      <c r="S19" s="111"/>
    </row>
    <row r="20" spans="1:19" x14ac:dyDescent="0.2">
      <c r="B20" s="123">
        <v>46388</v>
      </c>
      <c r="C20" s="119">
        <f t="shared" si="1"/>
        <v>283303.5845085819</v>
      </c>
      <c r="D20" s="119">
        <f t="shared" si="2"/>
        <v>821.58039507488741</v>
      </c>
      <c r="E20" s="119">
        <f t="shared" si="0"/>
        <v>529.41960492511259</v>
      </c>
      <c r="F20" s="119">
        <v>1351</v>
      </c>
      <c r="G20" s="120"/>
      <c r="H20" s="120"/>
      <c r="I20" s="119">
        <v>700</v>
      </c>
      <c r="J20" s="120"/>
      <c r="K20" s="119"/>
      <c r="L20" s="119"/>
      <c r="M20" s="119"/>
      <c r="N20" s="119"/>
      <c r="O20" s="119">
        <f t="shared" si="3"/>
        <v>-121.58039507488741</v>
      </c>
      <c r="P20" s="119"/>
      <c r="Q20" s="120"/>
      <c r="R20" s="120"/>
    </row>
    <row r="21" spans="1:19" x14ac:dyDescent="0.2">
      <c r="B21" s="123">
        <v>46419</v>
      </c>
      <c r="C21" s="119">
        <f t="shared" si="1"/>
        <v>282774.16490365681</v>
      </c>
      <c r="D21" s="119">
        <f t="shared" si="2"/>
        <v>820.04507822060475</v>
      </c>
      <c r="E21" s="119">
        <f t="shared" si="0"/>
        <v>530.95492177939525</v>
      </c>
      <c r="F21" s="119">
        <v>1351</v>
      </c>
      <c r="G21" s="120"/>
      <c r="H21" s="120"/>
      <c r="I21" s="119">
        <v>700</v>
      </c>
      <c r="J21" s="120"/>
      <c r="K21" s="119"/>
      <c r="L21" s="119"/>
      <c r="M21" s="119"/>
      <c r="N21" s="119"/>
      <c r="O21" s="119">
        <f t="shared" si="3"/>
        <v>-120.04507822060475</v>
      </c>
      <c r="P21" s="119"/>
      <c r="Q21" s="120"/>
      <c r="R21" s="120"/>
    </row>
    <row r="22" spans="1:19" x14ac:dyDescent="0.2">
      <c r="B22" s="123">
        <v>46447</v>
      </c>
      <c r="C22" s="119">
        <f t="shared" si="1"/>
        <v>282243.20998187741</v>
      </c>
      <c r="D22" s="119">
        <f t="shared" si="2"/>
        <v>818.50530894744452</v>
      </c>
      <c r="E22" s="119">
        <f t="shared" si="0"/>
        <v>532.49469105255548</v>
      </c>
      <c r="F22" s="119">
        <v>1351</v>
      </c>
      <c r="G22" s="120"/>
      <c r="H22" s="120"/>
      <c r="I22" s="119">
        <v>700</v>
      </c>
      <c r="J22" s="120"/>
      <c r="K22" s="119"/>
      <c r="L22" s="119"/>
      <c r="M22" s="119"/>
      <c r="N22" s="119"/>
      <c r="O22" s="119">
        <f t="shared" si="3"/>
        <v>-118.50530894744452</v>
      </c>
      <c r="P22" s="119"/>
      <c r="Q22" s="120"/>
      <c r="R22" s="120"/>
    </row>
    <row r="23" spans="1:19" x14ac:dyDescent="0.2">
      <c r="B23" s="123">
        <v>46478</v>
      </c>
      <c r="C23" s="119">
        <f t="shared" si="1"/>
        <v>281710.71529082488</v>
      </c>
      <c r="D23" s="119">
        <f t="shared" si="2"/>
        <v>816.96107434339217</v>
      </c>
      <c r="E23" s="119">
        <f t="shared" si="0"/>
        <v>534.03892565660783</v>
      </c>
      <c r="F23" s="119">
        <v>1351</v>
      </c>
      <c r="G23" s="120"/>
      <c r="H23" s="120"/>
      <c r="I23" s="119">
        <v>700</v>
      </c>
      <c r="J23" s="120"/>
      <c r="K23" s="119"/>
      <c r="L23" s="119"/>
      <c r="M23" s="119"/>
      <c r="N23" s="119"/>
      <c r="O23" s="119">
        <f t="shared" si="3"/>
        <v>-116.96107434339217</v>
      </c>
      <c r="P23" s="119"/>
      <c r="Q23" s="120"/>
      <c r="R23" s="120"/>
    </row>
    <row r="24" spans="1:19" x14ac:dyDescent="0.2">
      <c r="B24" s="123">
        <v>46508</v>
      </c>
      <c r="C24" s="119">
        <f t="shared" si="1"/>
        <v>281176.6763651683</v>
      </c>
      <c r="D24" s="119">
        <f t="shared" si="2"/>
        <v>815.41236145898802</v>
      </c>
      <c r="E24" s="119">
        <f t="shared" si="0"/>
        <v>535.58763854101198</v>
      </c>
      <c r="F24" s="119">
        <v>1351</v>
      </c>
      <c r="G24" s="120"/>
      <c r="H24" s="120"/>
      <c r="I24" s="119">
        <v>700</v>
      </c>
      <c r="J24" s="120"/>
      <c r="K24" s="119"/>
      <c r="L24" s="119"/>
      <c r="M24" s="119"/>
      <c r="N24" s="119"/>
      <c r="O24" s="119">
        <f t="shared" si="3"/>
        <v>-115.41236145898802</v>
      </c>
      <c r="P24" s="119"/>
      <c r="Q24" s="120"/>
      <c r="R24" s="120"/>
    </row>
    <row r="25" spans="1:19" x14ac:dyDescent="0.2">
      <c r="B25" s="123">
        <v>46539</v>
      </c>
      <c r="C25" s="119">
        <f t="shared" si="1"/>
        <v>280641.08872662729</v>
      </c>
      <c r="D25" s="119">
        <f t="shared" si="2"/>
        <v>813.85915730721911</v>
      </c>
      <c r="E25" s="119">
        <f t="shared" si="0"/>
        <v>537.14084269278089</v>
      </c>
      <c r="F25" s="119">
        <v>1351</v>
      </c>
      <c r="G25" s="120"/>
      <c r="H25" s="120"/>
      <c r="I25" s="119">
        <v>700</v>
      </c>
      <c r="J25" s="120"/>
      <c r="K25" s="119"/>
      <c r="L25" s="119"/>
      <c r="M25" s="119"/>
      <c r="N25" s="119"/>
      <c r="O25" s="119">
        <f t="shared" si="3"/>
        <v>-113.85915730721911</v>
      </c>
      <c r="P25" s="119"/>
      <c r="Q25" s="120"/>
      <c r="R25" s="120"/>
    </row>
    <row r="26" spans="1:19" x14ac:dyDescent="0.2">
      <c r="B26" s="123">
        <v>46569</v>
      </c>
      <c r="C26" s="119">
        <f t="shared" si="1"/>
        <v>280103.94788393454</v>
      </c>
      <c r="D26" s="119">
        <f t="shared" si="2"/>
        <v>812.3014488634102</v>
      </c>
      <c r="E26" s="119">
        <f t="shared" si="0"/>
        <v>538.6985511365898</v>
      </c>
      <c r="F26" s="119">
        <v>1351</v>
      </c>
      <c r="G26" s="120"/>
      <c r="H26" s="120"/>
      <c r="I26" s="119">
        <v>700</v>
      </c>
      <c r="J26" s="120"/>
      <c r="K26" s="119"/>
      <c r="L26" s="119"/>
      <c r="M26" s="119"/>
      <c r="N26" s="119"/>
      <c r="O26" s="119">
        <f t="shared" si="3"/>
        <v>-112.3014488634102</v>
      </c>
      <c r="P26" s="119"/>
      <c r="Q26" s="120"/>
      <c r="R26" s="120"/>
    </row>
    <row r="27" spans="1:19" x14ac:dyDescent="0.2">
      <c r="B27" s="123">
        <v>46600</v>
      </c>
      <c r="C27" s="119">
        <f t="shared" si="1"/>
        <v>279565.24933279795</v>
      </c>
      <c r="D27" s="119">
        <f t="shared" si="2"/>
        <v>810.73922306511395</v>
      </c>
      <c r="E27" s="119">
        <f t="shared" si="0"/>
        <v>540.26077693488605</v>
      </c>
      <c r="F27" s="119">
        <v>1351</v>
      </c>
      <c r="G27" s="120"/>
      <c r="H27" s="120"/>
      <c r="I27" s="119">
        <v>700</v>
      </c>
      <c r="J27" s="120"/>
      <c r="K27" s="119"/>
      <c r="L27" s="119"/>
      <c r="M27" s="119"/>
      <c r="N27" s="119"/>
      <c r="O27" s="119">
        <f t="shared" si="3"/>
        <v>-110.73922306511395</v>
      </c>
      <c r="P27" s="119"/>
      <c r="Q27" s="120"/>
      <c r="R27" s="120"/>
    </row>
    <row r="28" spans="1:19" x14ac:dyDescent="0.2">
      <c r="B28" s="123">
        <v>46630</v>
      </c>
      <c r="C28" s="119">
        <f t="shared" si="1"/>
        <v>279024.98855586303</v>
      </c>
      <c r="D28" s="119">
        <v>0</v>
      </c>
      <c r="E28" s="119">
        <v>0</v>
      </c>
      <c r="F28" s="119">
        <v>0</v>
      </c>
      <c r="G28" s="119"/>
      <c r="H28" s="119"/>
      <c r="I28" s="119"/>
      <c r="J28" s="120"/>
      <c r="K28" s="119"/>
      <c r="L28" s="119"/>
      <c r="M28" s="119"/>
      <c r="N28" s="119"/>
      <c r="O28" s="119">
        <f>D28-G28</f>
        <v>0</v>
      </c>
      <c r="P28" s="119"/>
      <c r="Q28" s="120"/>
      <c r="R28" s="120"/>
    </row>
    <row r="29" spans="1:19" x14ac:dyDescent="0.2">
      <c r="B29" s="123">
        <v>46631</v>
      </c>
      <c r="C29" s="119">
        <f>C28-G28</f>
        <v>279024.98855586303</v>
      </c>
      <c r="D29" s="119">
        <f t="shared" ref="D29:D40" si="4">(C29*S$2)/12</f>
        <v>809.17246681200277</v>
      </c>
      <c r="E29" s="119">
        <f t="shared" si="0"/>
        <v>541.82753318799723</v>
      </c>
      <c r="F29" s="119">
        <v>1351</v>
      </c>
      <c r="G29" s="120"/>
      <c r="H29" s="120"/>
      <c r="I29" s="119">
        <v>700</v>
      </c>
      <c r="J29" s="120"/>
      <c r="K29" s="119"/>
      <c r="L29" s="119"/>
      <c r="M29" s="119"/>
      <c r="N29" s="119"/>
      <c r="O29" s="119">
        <f t="shared" ref="O29:O40" si="5">I29-D29</f>
        <v>-109.17246681200277</v>
      </c>
      <c r="P29" s="119"/>
      <c r="Q29" s="120"/>
      <c r="R29" s="120"/>
    </row>
    <row r="30" spans="1:19" x14ac:dyDescent="0.2">
      <c r="B30" s="123">
        <v>46661</v>
      </c>
      <c r="C30" s="119">
        <f t="shared" si="1"/>
        <v>278483.16102267505</v>
      </c>
      <c r="D30" s="119">
        <f t="shared" si="4"/>
        <v>807.60116696575767</v>
      </c>
      <c r="E30" s="119">
        <f t="shared" si="0"/>
        <v>543.39883303424233</v>
      </c>
      <c r="F30" s="119">
        <v>1351</v>
      </c>
      <c r="G30" s="120"/>
      <c r="H30" s="120"/>
      <c r="I30" s="119">
        <v>700</v>
      </c>
      <c r="J30" s="120"/>
      <c r="K30" s="119"/>
      <c r="L30" s="119"/>
      <c r="M30" s="119"/>
      <c r="N30" s="119"/>
      <c r="O30" s="119">
        <f t="shared" si="5"/>
        <v>-107.60116696575767</v>
      </c>
      <c r="P30" s="119"/>
      <c r="Q30" s="120"/>
      <c r="R30" s="120"/>
    </row>
    <row r="31" spans="1:19" x14ac:dyDescent="0.2">
      <c r="A31" s="115">
        <v>1.0149999999999999</v>
      </c>
      <c r="B31" s="123">
        <v>46692</v>
      </c>
      <c r="C31" s="119">
        <f t="shared" si="1"/>
        <v>277939.76218964078</v>
      </c>
      <c r="D31" s="119">
        <f t="shared" si="4"/>
        <v>806.0253103499582</v>
      </c>
      <c r="E31" s="119">
        <f t="shared" si="0"/>
        <v>544.9746896500418</v>
      </c>
      <c r="F31" s="119">
        <v>1351</v>
      </c>
      <c r="G31" s="120"/>
      <c r="H31" s="120"/>
      <c r="I31" s="119">
        <v>700</v>
      </c>
      <c r="J31" s="120"/>
      <c r="K31" s="119"/>
      <c r="L31" s="119"/>
      <c r="M31" s="119"/>
      <c r="N31" s="119"/>
      <c r="O31" s="119">
        <f t="shared" si="5"/>
        <v>-106.0253103499582</v>
      </c>
      <c r="P31" s="119"/>
      <c r="Q31" s="120"/>
      <c r="R31" s="120"/>
    </row>
    <row r="32" spans="1:19" s="3" customFormat="1" x14ac:dyDescent="0.2">
      <c r="A32" s="3">
        <v>2</v>
      </c>
      <c r="B32" s="121">
        <v>46722</v>
      </c>
      <c r="C32" s="118">
        <f t="shared" si="1"/>
        <v>277394.78749999072</v>
      </c>
      <c r="D32" s="118">
        <f t="shared" si="4"/>
        <v>804.44488374997309</v>
      </c>
      <c r="E32" s="118">
        <f t="shared" si="0"/>
        <v>546.55511625002691</v>
      </c>
      <c r="F32" s="118">
        <v>1351</v>
      </c>
      <c r="G32" s="117"/>
      <c r="H32" s="117"/>
      <c r="I32" s="118">
        <f>I31*A31</f>
        <v>710.49999999999989</v>
      </c>
      <c r="J32" s="118">
        <f>(I32/$J$2)/0.66</f>
        <v>13.456439393939391</v>
      </c>
      <c r="K32" s="118">
        <f>SUM(E20:E32)+G28</f>
        <v>6455.352124841248</v>
      </c>
      <c r="L32" s="118">
        <f>SUM(I20:I32)-SUM(D20:D32)</f>
        <v>-1346.1478751587529</v>
      </c>
      <c r="M32" s="118">
        <v>230</v>
      </c>
      <c r="N32" s="118">
        <v>2500</v>
      </c>
      <c r="O32" s="118">
        <f t="shared" si="5"/>
        <v>-93.944883749973201</v>
      </c>
      <c r="P32" s="118">
        <f>SUM(O20:O32)+M32+N32</f>
        <v>1383.852124841248</v>
      </c>
      <c r="Q32" s="118">
        <f>L32+M32+N32</f>
        <v>1383.8521248412471</v>
      </c>
      <c r="R32" s="122">
        <f>Q32/K32</f>
        <v>0.21437283328293719</v>
      </c>
      <c r="S32" s="111"/>
    </row>
    <row r="33" spans="1:19" x14ac:dyDescent="0.2">
      <c r="B33" s="123">
        <v>46753</v>
      </c>
      <c r="C33" s="119">
        <f t="shared" si="1"/>
        <v>276848.23238374072</v>
      </c>
      <c r="D33" s="119">
        <f t="shared" si="4"/>
        <v>802.859873912848</v>
      </c>
      <c r="E33" s="119">
        <f t="shared" si="0"/>
        <v>548.140126087152</v>
      </c>
      <c r="F33" s="119">
        <v>1351</v>
      </c>
      <c r="G33" s="120"/>
      <c r="H33" s="120"/>
      <c r="I33" s="119">
        <f>I32</f>
        <v>710.49999999999989</v>
      </c>
      <c r="J33" s="120"/>
      <c r="K33" s="119"/>
      <c r="L33" s="119"/>
      <c r="M33" s="119"/>
      <c r="N33" s="119"/>
      <c r="O33" s="119">
        <f t="shared" si="5"/>
        <v>-92.359873912848116</v>
      </c>
      <c r="P33" s="119"/>
      <c r="Q33" s="120"/>
      <c r="R33" s="120"/>
    </row>
    <row r="34" spans="1:19" x14ac:dyDescent="0.2">
      <c r="B34" s="123">
        <v>46784</v>
      </c>
      <c r="C34" s="119">
        <f t="shared" si="1"/>
        <v>276300.09225765354</v>
      </c>
      <c r="D34" s="119">
        <f t="shared" si="4"/>
        <v>801.2702675471952</v>
      </c>
      <c r="E34" s="119">
        <f t="shared" si="0"/>
        <v>549.7297324528048</v>
      </c>
      <c r="F34" s="119">
        <v>1351</v>
      </c>
      <c r="G34" s="120"/>
      <c r="H34" s="120"/>
      <c r="I34" s="119">
        <f>I33</f>
        <v>710.49999999999989</v>
      </c>
      <c r="J34" s="120"/>
      <c r="K34" s="119"/>
      <c r="L34" s="119"/>
      <c r="M34" s="119"/>
      <c r="N34" s="119"/>
      <c r="O34" s="119">
        <f t="shared" si="5"/>
        <v>-90.770267547195317</v>
      </c>
      <c r="P34" s="119"/>
      <c r="Q34" s="120"/>
      <c r="R34" s="120"/>
    </row>
    <row r="35" spans="1:19" x14ac:dyDescent="0.2">
      <c r="B35" s="123">
        <v>46813</v>
      </c>
      <c r="C35" s="119">
        <f t="shared" si="1"/>
        <v>275750.3625252007</v>
      </c>
      <c r="D35" s="119">
        <f t="shared" si="4"/>
        <v>799.67605132308199</v>
      </c>
      <c r="E35" s="119">
        <f t="shared" si="0"/>
        <v>551.32394867691801</v>
      </c>
      <c r="F35" s="119">
        <v>1351</v>
      </c>
      <c r="G35" s="120"/>
      <c r="H35" s="120"/>
      <c r="I35" s="119">
        <f>I34</f>
        <v>710.49999999999989</v>
      </c>
      <c r="J35" s="120"/>
      <c r="K35" s="119"/>
      <c r="L35" s="119"/>
      <c r="M35" s="119"/>
      <c r="N35" s="119"/>
      <c r="O35" s="119">
        <f t="shared" si="5"/>
        <v>-89.176051323082106</v>
      </c>
      <c r="P35" s="119"/>
      <c r="Q35" s="120"/>
      <c r="R35" s="120"/>
    </row>
    <row r="36" spans="1:19" x14ac:dyDescent="0.2">
      <c r="B36" s="123">
        <v>46844</v>
      </c>
      <c r="C36" s="119">
        <f t="shared" si="1"/>
        <v>275199.03857652377</v>
      </c>
      <c r="D36" s="119">
        <f t="shared" si="4"/>
        <v>798.07721187191885</v>
      </c>
      <c r="E36" s="119">
        <f t="shared" si="0"/>
        <v>552.92278812808115</v>
      </c>
      <c r="F36" s="119">
        <v>1351</v>
      </c>
      <c r="G36" s="120"/>
      <c r="H36" s="120"/>
      <c r="I36" s="119">
        <f>I35</f>
        <v>710.49999999999989</v>
      </c>
      <c r="J36" s="120"/>
      <c r="K36" s="119"/>
      <c r="L36" s="119"/>
      <c r="M36" s="119"/>
      <c r="N36" s="119"/>
      <c r="O36" s="119">
        <f t="shared" si="5"/>
        <v>-87.577211871918962</v>
      </c>
      <c r="P36" s="119"/>
      <c r="Q36" s="120"/>
      <c r="R36" s="120"/>
    </row>
    <row r="37" spans="1:19" x14ac:dyDescent="0.2">
      <c r="B37" s="123">
        <v>46874</v>
      </c>
      <c r="C37" s="119">
        <f t="shared" si="1"/>
        <v>274646.11578839569</v>
      </c>
      <c r="D37" s="119">
        <f t="shared" si="4"/>
        <v>796.47373578634745</v>
      </c>
      <c r="E37" s="119">
        <f t="shared" si="0"/>
        <v>554.52626421365255</v>
      </c>
      <c r="F37" s="119">
        <v>1351</v>
      </c>
      <c r="G37" s="120"/>
      <c r="H37" s="120"/>
      <c r="I37" s="119">
        <f t="shared" ref="I37:I40" si="6">I36</f>
        <v>710.49999999999989</v>
      </c>
      <c r="J37" s="120"/>
      <c r="K37" s="119"/>
      <c r="L37" s="119"/>
      <c r="M37" s="119"/>
      <c r="N37" s="119"/>
      <c r="O37" s="119">
        <f t="shared" si="5"/>
        <v>-85.973735786347561</v>
      </c>
      <c r="P37" s="119"/>
      <c r="Q37" s="120"/>
      <c r="R37" s="120"/>
    </row>
    <row r="38" spans="1:19" x14ac:dyDescent="0.2">
      <c r="B38" s="123">
        <v>46905</v>
      </c>
      <c r="C38" s="119">
        <f t="shared" si="1"/>
        <v>274091.58952418203</v>
      </c>
      <c r="D38" s="119">
        <f t="shared" si="4"/>
        <v>794.86560962012788</v>
      </c>
      <c r="E38" s="119">
        <f t="shared" si="0"/>
        <v>556.13439037987212</v>
      </c>
      <c r="F38" s="119">
        <v>1351</v>
      </c>
      <c r="G38" s="120"/>
      <c r="H38" s="120"/>
      <c r="I38" s="119">
        <f t="shared" si="6"/>
        <v>710.49999999999989</v>
      </c>
      <c r="J38" s="120"/>
      <c r="K38" s="119"/>
      <c r="L38" s="119"/>
      <c r="M38" s="119"/>
      <c r="N38" s="119"/>
      <c r="O38" s="119">
        <f t="shared" si="5"/>
        <v>-84.365609620127998</v>
      </c>
      <c r="P38" s="119"/>
      <c r="Q38" s="120"/>
      <c r="R38" s="120"/>
    </row>
    <row r="39" spans="1:19" x14ac:dyDescent="0.2">
      <c r="B39" s="123">
        <v>46935</v>
      </c>
      <c r="C39" s="119">
        <f t="shared" si="1"/>
        <v>273535.45513380214</v>
      </c>
      <c r="D39" s="119">
        <f t="shared" si="4"/>
        <v>793.25281988802624</v>
      </c>
      <c r="E39" s="119">
        <f t="shared" si="0"/>
        <v>557.74718011197376</v>
      </c>
      <c r="F39" s="119">
        <v>1351</v>
      </c>
      <c r="G39" s="120"/>
      <c r="H39" s="120"/>
      <c r="I39" s="119">
        <f t="shared" si="6"/>
        <v>710.49999999999989</v>
      </c>
      <c r="J39" s="120"/>
      <c r="K39" s="119"/>
      <c r="L39" s="119"/>
      <c r="M39" s="119"/>
      <c r="N39" s="119"/>
      <c r="O39" s="119">
        <f t="shared" si="5"/>
        <v>-82.752819888026352</v>
      </c>
      <c r="P39" s="119"/>
      <c r="Q39" s="120"/>
      <c r="R39" s="120"/>
    </row>
    <row r="40" spans="1:19" x14ac:dyDescent="0.2">
      <c r="B40" s="123">
        <v>46966</v>
      </c>
      <c r="C40" s="119">
        <f t="shared" si="1"/>
        <v>272977.70795369014</v>
      </c>
      <c r="D40" s="119">
        <f t="shared" si="4"/>
        <v>791.63535306570145</v>
      </c>
      <c r="E40" s="119">
        <f t="shared" si="0"/>
        <v>559.36464693429855</v>
      </c>
      <c r="F40" s="119">
        <v>1351</v>
      </c>
      <c r="G40" s="120"/>
      <c r="H40" s="120"/>
      <c r="I40" s="119">
        <f t="shared" si="6"/>
        <v>710.49999999999989</v>
      </c>
      <c r="J40" s="120"/>
      <c r="K40" s="119"/>
      <c r="L40" s="119"/>
      <c r="M40" s="119"/>
      <c r="N40" s="119"/>
      <c r="O40" s="119">
        <f t="shared" si="5"/>
        <v>-81.135353065701565</v>
      </c>
      <c r="P40" s="119"/>
      <c r="Q40" s="120"/>
      <c r="R40" s="120"/>
    </row>
    <row r="41" spans="1:19" x14ac:dyDescent="0.2">
      <c r="B41" s="123">
        <v>46996</v>
      </c>
      <c r="C41" s="119">
        <f t="shared" si="1"/>
        <v>272418.34330675582</v>
      </c>
      <c r="D41" s="119">
        <v>0</v>
      </c>
      <c r="E41" s="119">
        <v>0</v>
      </c>
      <c r="F41" s="119">
        <v>0</v>
      </c>
      <c r="G41" s="119"/>
      <c r="H41" s="119"/>
      <c r="I41" s="119"/>
      <c r="J41" s="120"/>
      <c r="K41" s="119"/>
      <c r="L41" s="119"/>
      <c r="M41" s="119"/>
      <c r="N41" s="119"/>
      <c r="O41" s="119">
        <f>D41-G41</f>
        <v>0</v>
      </c>
      <c r="P41" s="119"/>
      <c r="Q41" s="120"/>
      <c r="R41" s="120"/>
    </row>
    <row r="42" spans="1:19" x14ac:dyDescent="0.2">
      <c r="B42" s="123">
        <v>46997</v>
      </c>
      <c r="C42" s="119">
        <f>C41-G41</f>
        <v>272418.34330675582</v>
      </c>
      <c r="D42" s="119">
        <f t="shared" ref="D42:D53" si="7">(C42*S$2)/12</f>
        <v>790.01319558959176</v>
      </c>
      <c r="E42" s="119">
        <f t="shared" si="0"/>
        <v>560.98680441040824</v>
      </c>
      <c r="F42" s="119">
        <v>1351</v>
      </c>
      <c r="G42" s="120"/>
      <c r="H42" s="120"/>
      <c r="I42" s="119">
        <f>I40</f>
        <v>710.49999999999989</v>
      </c>
      <c r="J42" s="120"/>
      <c r="K42" s="119"/>
      <c r="L42" s="119"/>
      <c r="M42" s="119"/>
      <c r="N42" s="119"/>
      <c r="O42" s="119">
        <f t="shared" ref="O42:O53" si="8">I42-D42</f>
        <v>-79.513195589591874</v>
      </c>
      <c r="P42" s="119"/>
      <c r="Q42" s="120"/>
      <c r="R42" s="120"/>
    </row>
    <row r="43" spans="1:19" x14ac:dyDescent="0.2">
      <c r="B43" s="123">
        <v>47027</v>
      </c>
      <c r="C43" s="119">
        <f t="shared" si="1"/>
        <v>271857.35650234541</v>
      </c>
      <c r="D43" s="119">
        <f t="shared" si="7"/>
        <v>788.38633385680168</v>
      </c>
      <c r="E43" s="119">
        <f t="shared" si="0"/>
        <v>562.61366614319832</v>
      </c>
      <c r="F43" s="119">
        <v>1351</v>
      </c>
      <c r="G43" s="120"/>
      <c r="H43" s="120"/>
      <c r="I43" s="119">
        <f t="shared" ref="I43:I44" si="9">I42</f>
        <v>710.49999999999989</v>
      </c>
      <c r="J43" s="120"/>
      <c r="K43" s="119"/>
      <c r="L43" s="119"/>
      <c r="M43" s="119"/>
      <c r="N43" s="119"/>
      <c r="O43" s="119">
        <f t="shared" si="8"/>
        <v>-77.886333856801798</v>
      </c>
      <c r="P43" s="119"/>
      <c r="Q43" s="120"/>
      <c r="R43" s="120"/>
    </row>
    <row r="44" spans="1:19" x14ac:dyDescent="0.2">
      <c r="B44" s="123">
        <v>47058</v>
      </c>
      <c r="C44" s="119">
        <f t="shared" si="1"/>
        <v>271294.7428362022</v>
      </c>
      <c r="D44" s="119">
        <f t="shared" si="7"/>
        <v>786.7547542249863</v>
      </c>
      <c r="E44" s="119">
        <f t="shared" si="0"/>
        <v>564.2452457750137</v>
      </c>
      <c r="F44" s="119">
        <v>1351</v>
      </c>
      <c r="G44" s="120"/>
      <c r="H44" s="120"/>
      <c r="I44" s="119">
        <f t="shared" si="9"/>
        <v>710.49999999999989</v>
      </c>
      <c r="J44" s="120"/>
      <c r="K44" s="119"/>
      <c r="L44" s="119"/>
      <c r="M44" s="119"/>
      <c r="N44" s="119"/>
      <c r="O44" s="119">
        <f t="shared" si="8"/>
        <v>-76.254754224986414</v>
      </c>
      <c r="P44" s="119"/>
      <c r="Q44" s="120"/>
      <c r="R44" s="120"/>
    </row>
    <row r="45" spans="1:19" s="3" customFormat="1" x14ac:dyDescent="0.2">
      <c r="A45" s="3">
        <v>3</v>
      </c>
      <c r="B45" s="121">
        <v>47088</v>
      </c>
      <c r="C45" s="118">
        <f t="shared" si="1"/>
        <v>270730.49759042717</v>
      </c>
      <c r="D45" s="118">
        <f t="shared" si="7"/>
        <v>785.1184430122388</v>
      </c>
      <c r="E45" s="118">
        <f t="shared" si="0"/>
        <v>565.8815569877612</v>
      </c>
      <c r="F45" s="118">
        <v>1351</v>
      </c>
      <c r="G45" s="117"/>
      <c r="H45" s="117"/>
      <c r="I45" s="118">
        <f>I44*$A31</f>
        <v>721.1574999999998</v>
      </c>
      <c r="J45" s="118">
        <f>(I45/$J$2)/0.66</f>
        <v>13.658285984848479</v>
      </c>
      <c r="K45" s="118">
        <f>SUM(E33:E45)+G41</f>
        <v>6683.6163503011348</v>
      </c>
      <c r="L45" s="118">
        <f>SUM(I33:I45)-SUM(D33:D45)</f>
        <v>-991.72614969886672</v>
      </c>
      <c r="M45" s="118">
        <v>230</v>
      </c>
      <c r="N45" s="118">
        <v>2500</v>
      </c>
      <c r="O45" s="118">
        <f t="shared" si="8"/>
        <v>-63.960943012238999</v>
      </c>
      <c r="P45" s="118">
        <f>SUM(O33:O45)+M45+N45</f>
        <v>1738.2738503011328</v>
      </c>
      <c r="Q45" s="118">
        <f>L45+M45+N45</f>
        <v>1738.2738503011333</v>
      </c>
      <c r="R45" s="122">
        <f>Q45/K45</f>
        <v>0.26007983690189135</v>
      </c>
      <c r="S45" s="111"/>
    </row>
    <row r="46" spans="1:19" x14ac:dyDescent="0.2">
      <c r="B46" s="123">
        <v>47119</v>
      </c>
      <c r="C46" s="119">
        <f t="shared" si="1"/>
        <v>270164.61603343941</v>
      </c>
      <c r="D46" s="119">
        <f t="shared" si="7"/>
        <v>783.4773864969743</v>
      </c>
      <c r="E46" s="119">
        <f t="shared" si="0"/>
        <v>567.5226135030257</v>
      </c>
      <c r="F46" s="119">
        <v>1351</v>
      </c>
      <c r="G46" s="120"/>
      <c r="H46" s="120"/>
      <c r="I46" s="119">
        <f t="shared" ref="I46:I53" si="10">I45</f>
        <v>721.1574999999998</v>
      </c>
      <c r="J46" s="120"/>
      <c r="K46" s="119"/>
      <c r="L46" s="119"/>
      <c r="M46" s="119"/>
      <c r="N46" s="119"/>
      <c r="O46" s="119">
        <f t="shared" si="8"/>
        <v>-62.319886496974505</v>
      </c>
      <c r="P46" s="119"/>
      <c r="Q46" s="120"/>
      <c r="R46" s="120"/>
    </row>
    <row r="47" spans="1:19" x14ac:dyDescent="0.2">
      <c r="B47" s="123">
        <v>47150</v>
      </c>
      <c r="C47" s="119">
        <f t="shared" si="1"/>
        <v>269597.09341993637</v>
      </c>
      <c r="D47" s="119">
        <f t="shared" si="7"/>
        <v>781.83157091781538</v>
      </c>
      <c r="E47" s="119">
        <f t="shared" si="0"/>
        <v>569.16842908218462</v>
      </c>
      <c r="F47" s="119">
        <v>1351</v>
      </c>
      <c r="G47" s="120"/>
      <c r="H47" s="120"/>
      <c r="I47" s="119">
        <f t="shared" si="10"/>
        <v>721.1574999999998</v>
      </c>
      <c r="J47" s="120"/>
      <c r="K47" s="119"/>
      <c r="L47" s="119"/>
      <c r="M47" s="119"/>
      <c r="N47" s="119"/>
      <c r="O47" s="119">
        <f t="shared" si="8"/>
        <v>-60.674070917815584</v>
      </c>
      <c r="P47" s="119"/>
      <c r="Q47" s="120"/>
      <c r="R47" s="120"/>
    </row>
    <row r="48" spans="1:19" x14ac:dyDescent="0.2">
      <c r="B48" s="123">
        <v>47178</v>
      </c>
      <c r="C48" s="119">
        <f t="shared" si="1"/>
        <v>269027.92499085417</v>
      </c>
      <c r="D48" s="119">
        <f t="shared" si="7"/>
        <v>780.180982473477</v>
      </c>
      <c r="E48" s="119">
        <f t="shared" si="0"/>
        <v>570.819017526523</v>
      </c>
      <c r="F48" s="119">
        <v>1351</v>
      </c>
      <c r="G48" s="120"/>
      <c r="H48" s="120"/>
      <c r="I48" s="119">
        <f t="shared" si="10"/>
        <v>721.1574999999998</v>
      </c>
      <c r="J48" s="120"/>
      <c r="K48" s="119"/>
      <c r="L48" s="119"/>
      <c r="M48" s="119"/>
      <c r="N48" s="119"/>
      <c r="O48" s="119">
        <f t="shared" si="8"/>
        <v>-59.023482473477202</v>
      </c>
      <c r="P48" s="119"/>
      <c r="Q48" s="120"/>
      <c r="R48" s="120"/>
    </row>
    <row r="49" spans="1:18" x14ac:dyDescent="0.2">
      <c r="B49" s="123">
        <v>47209</v>
      </c>
      <c r="C49" s="119">
        <f t="shared" si="1"/>
        <v>268457.10597332765</v>
      </c>
      <c r="D49" s="119">
        <f t="shared" si="7"/>
        <v>778.5256073226501</v>
      </c>
      <c r="E49" s="119">
        <f t="shared" si="0"/>
        <v>572.4743926773499</v>
      </c>
      <c r="F49" s="119">
        <v>1351</v>
      </c>
      <c r="G49" s="120"/>
      <c r="H49" s="120"/>
      <c r="I49" s="119">
        <f t="shared" si="10"/>
        <v>721.1574999999998</v>
      </c>
      <c r="J49" s="120"/>
      <c r="K49" s="119"/>
      <c r="L49" s="119"/>
      <c r="M49" s="119"/>
      <c r="N49" s="119"/>
      <c r="O49" s="119">
        <f t="shared" si="8"/>
        <v>-57.368107322650303</v>
      </c>
      <c r="P49" s="119"/>
      <c r="Q49" s="120"/>
      <c r="R49" s="120"/>
    </row>
    <row r="50" spans="1:18" x14ac:dyDescent="0.2">
      <c r="B50" s="123">
        <v>47239</v>
      </c>
      <c r="C50" s="119">
        <f t="shared" si="1"/>
        <v>267884.63158065028</v>
      </c>
      <c r="D50" s="119">
        <f t="shared" si="7"/>
        <v>776.86543158388577</v>
      </c>
      <c r="E50" s="119">
        <f t="shared" si="0"/>
        <v>574.13456841611423</v>
      </c>
      <c r="F50" s="119">
        <v>1351</v>
      </c>
      <c r="G50" s="120"/>
      <c r="H50" s="120"/>
      <c r="I50" s="119">
        <f t="shared" si="10"/>
        <v>721.1574999999998</v>
      </c>
      <c r="J50" s="120"/>
      <c r="K50" s="119"/>
      <c r="L50" s="119"/>
      <c r="M50" s="119"/>
      <c r="N50" s="119"/>
      <c r="O50" s="119">
        <f t="shared" si="8"/>
        <v>-55.707931583885966</v>
      </c>
      <c r="P50" s="119"/>
      <c r="Q50" s="120"/>
      <c r="R50" s="120"/>
    </row>
    <row r="51" spans="1:18" x14ac:dyDescent="0.2">
      <c r="B51" s="123">
        <v>47270</v>
      </c>
      <c r="C51" s="119">
        <f t="shared" si="1"/>
        <v>267310.49701223418</v>
      </c>
      <c r="D51" s="119">
        <f t="shared" si="7"/>
        <v>775.20044133547901</v>
      </c>
      <c r="E51" s="119">
        <f t="shared" si="0"/>
        <v>575.79955866452099</v>
      </c>
      <c r="F51" s="119">
        <v>1351</v>
      </c>
      <c r="G51" s="120"/>
      <c r="H51" s="120"/>
      <c r="I51" s="119">
        <f t="shared" si="10"/>
        <v>721.1574999999998</v>
      </c>
      <c r="J51" s="120"/>
      <c r="K51" s="119"/>
      <c r="L51" s="119"/>
      <c r="M51" s="119"/>
      <c r="N51" s="119"/>
      <c r="O51" s="119">
        <f t="shared" si="8"/>
        <v>-54.042941335479213</v>
      </c>
      <c r="P51" s="119"/>
      <c r="Q51" s="120"/>
      <c r="R51" s="120"/>
    </row>
    <row r="52" spans="1:18" x14ac:dyDescent="0.2">
      <c r="B52" s="123">
        <v>47300</v>
      </c>
      <c r="C52" s="119">
        <f t="shared" si="1"/>
        <v>266734.69745356968</v>
      </c>
      <c r="D52" s="119">
        <f t="shared" si="7"/>
        <v>773.53062261535206</v>
      </c>
      <c r="E52" s="119">
        <f t="shared" si="0"/>
        <v>577.46937738464794</v>
      </c>
      <c r="F52" s="119">
        <v>1351</v>
      </c>
      <c r="G52" s="120"/>
      <c r="H52" s="120"/>
      <c r="I52" s="119">
        <f t="shared" si="10"/>
        <v>721.1574999999998</v>
      </c>
      <c r="J52" s="120"/>
      <c r="K52" s="119"/>
      <c r="L52" s="119"/>
      <c r="M52" s="119"/>
      <c r="N52" s="119"/>
      <c r="O52" s="119">
        <f t="shared" si="8"/>
        <v>-52.373122615352258</v>
      </c>
      <c r="P52" s="119"/>
      <c r="Q52" s="120"/>
      <c r="R52" s="120"/>
    </row>
    <row r="53" spans="1:18" x14ac:dyDescent="0.2">
      <c r="B53" s="123">
        <v>47331</v>
      </c>
      <c r="C53" s="119">
        <f t="shared" si="1"/>
        <v>266157.22807618504</v>
      </c>
      <c r="D53" s="119">
        <f t="shared" si="7"/>
        <v>771.85596142093664</v>
      </c>
      <c r="E53" s="119">
        <f t="shared" si="0"/>
        <v>579.14403857906336</v>
      </c>
      <c r="F53" s="119">
        <v>1351</v>
      </c>
      <c r="G53" s="120"/>
      <c r="H53" s="120"/>
      <c r="I53" s="119">
        <f t="shared" si="10"/>
        <v>721.1574999999998</v>
      </c>
      <c r="J53" s="120"/>
      <c r="K53" s="119"/>
      <c r="L53" s="119"/>
      <c r="M53" s="119"/>
      <c r="N53" s="119"/>
      <c r="O53" s="119">
        <f t="shared" si="8"/>
        <v>-50.698461420936837</v>
      </c>
      <c r="P53" s="119"/>
      <c r="Q53" s="120"/>
      <c r="R53" s="120"/>
    </row>
    <row r="54" spans="1:18" x14ac:dyDescent="0.2">
      <c r="B54" s="123">
        <v>47361</v>
      </c>
      <c r="C54" s="119">
        <f t="shared" si="1"/>
        <v>265578.08403760596</v>
      </c>
      <c r="D54" s="119">
        <v>0</v>
      </c>
      <c r="E54" s="119">
        <v>0</v>
      </c>
      <c r="F54" s="119">
        <v>0</v>
      </c>
      <c r="G54" s="119"/>
      <c r="H54" s="119"/>
      <c r="I54" s="119"/>
      <c r="J54" s="120"/>
      <c r="K54" s="119"/>
      <c r="L54" s="119"/>
      <c r="M54" s="119"/>
      <c r="N54" s="119"/>
      <c r="O54" s="119">
        <f>D54-G54</f>
        <v>0</v>
      </c>
      <c r="P54" s="119"/>
      <c r="Q54" s="120"/>
      <c r="R54" s="120"/>
    </row>
    <row r="55" spans="1:18" x14ac:dyDescent="0.2">
      <c r="B55" s="123">
        <v>47362</v>
      </c>
      <c r="C55" s="119">
        <f>C54-G54</f>
        <v>265578.08403760596</v>
      </c>
      <c r="D55" s="119">
        <f t="shared" ref="D55:D66" si="11">(C55*S$2)/12</f>
        <v>770.17644370905725</v>
      </c>
      <c r="E55" s="119">
        <f t="shared" si="0"/>
        <v>580.82355629094275</v>
      </c>
      <c r="F55" s="119">
        <v>1351</v>
      </c>
      <c r="G55" s="120"/>
      <c r="H55" s="120"/>
      <c r="I55" s="119">
        <f t="shared" ref="I55" si="12">I53</f>
        <v>721.1574999999998</v>
      </c>
      <c r="J55" s="120"/>
      <c r="K55" s="119"/>
      <c r="L55" s="119"/>
      <c r="M55" s="119"/>
      <c r="N55" s="119"/>
      <c r="O55" s="119">
        <f t="shared" ref="O55:O66" si="13">I55-D55</f>
        <v>-49.018943709057453</v>
      </c>
      <c r="P55" s="119"/>
      <c r="Q55" s="120"/>
      <c r="R55" s="120"/>
    </row>
    <row r="56" spans="1:18" x14ac:dyDescent="0.2">
      <c r="B56" s="123">
        <v>47392</v>
      </c>
      <c r="C56" s="119">
        <f t="shared" si="1"/>
        <v>264997.26048131502</v>
      </c>
      <c r="D56" s="119">
        <f t="shared" si="11"/>
        <v>768.49205539581351</v>
      </c>
      <c r="E56" s="119">
        <f t="shared" si="0"/>
        <v>582.50794460418649</v>
      </c>
      <c r="F56" s="119">
        <v>1351</v>
      </c>
      <c r="G56" s="120"/>
      <c r="H56" s="120"/>
      <c r="I56" s="119">
        <f>I55</f>
        <v>721.1574999999998</v>
      </c>
      <c r="J56" s="120"/>
      <c r="K56" s="119"/>
      <c r="L56" s="119"/>
      <c r="M56" s="119"/>
      <c r="N56" s="119"/>
      <c r="O56" s="119">
        <f t="shared" si="13"/>
        <v>-47.334555395813709</v>
      </c>
      <c r="P56" s="119"/>
      <c r="Q56" s="120"/>
      <c r="R56" s="120"/>
    </row>
    <row r="57" spans="1:18" x14ac:dyDescent="0.2">
      <c r="B57" s="123">
        <v>47423</v>
      </c>
      <c r="C57" s="119">
        <f t="shared" si="1"/>
        <v>264414.75253671082</v>
      </c>
      <c r="D57" s="119">
        <f t="shared" si="11"/>
        <v>766.80278235646131</v>
      </c>
      <c r="E57" s="119">
        <f t="shared" si="0"/>
        <v>584.19721764353869</v>
      </c>
      <c r="F57" s="119">
        <v>1351</v>
      </c>
      <c r="G57" s="120"/>
      <c r="H57" s="120"/>
      <c r="I57" s="119">
        <f>I55</f>
        <v>721.1574999999998</v>
      </c>
      <c r="J57" s="120"/>
      <c r="K57" s="119"/>
      <c r="L57" s="119"/>
      <c r="M57" s="119"/>
      <c r="N57" s="119"/>
      <c r="O57" s="119">
        <f t="shared" si="13"/>
        <v>-45.645282356461507</v>
      </c>
      <c r="P57" s="119"/>
      <c r="Q57" s="120"/>
      <c r="R57" s="120"/>
    </row>
    <row r="58" spans="1:18" s="3" customFormat="1" x14ac:dyDescent="0.2">
      <c r="A58" s="3">
        <v>4</v>
      </c>
      <c r="B58" s="121">
        <v>47453</v>
      </c>
      <c r="C58" s="118">
        <f t="shared" si="1"/>
        <v>263830.55531906727</v>
      </c>
      <c r="D58" s="118">
        <f t="shared" si="11"/>
        <v>765.10861042529496</v>
      </c>
      <c r="E58" s="118">
        <f t="shared" si="0"/>
        <v>585.89138957470504</v>
      </c>
      <c r="F58" s="118">
        <v>1351</v>
      </c>
      <c r="G58" s="117"/>
      <c r="H58" s="117"/>
      <c r="I58" s="118">
        <f>I57*$A$31</f>
        <v>731.97486249999974</v>
      </c>
      <c r="J58" s="118">
        <f>(I58/$J$2)/0.66</f>
        <v>13.863160274621206</v>
      </c>
      <c r="K58" s="118">
        <f>SUM(E46:E58)+G54</f>
        <v>6919.9521039468018</v>
      </c>
      <c r="L58" s="118">
        <f>SUM(I46:I58)-SUM(D46:D58)</f>
        <v>-627.34053355320248</v>
      </c>
      <c r="M58" s="118">
        <v>230</v>
      </c>
      <c r="N58" s="118">
        <v>2500</v>
      </c>
      <c r="O58" s="118">
        <f t="shared" si="13"/>
        <v>-33.133747925295211</v>
      </c>
      <c r="P58" s="118">
        <f>SUM(O46:O58)+M58+N58</f>
        <v>2102.6594664468003</v>
      </c>
      <c r="Q58" s="118">
        <f>L58+M58+N58</f>
        <v>2102.6594664467975</v>
      </c>
      <c r="R58" s="122">
        <f>Q58/K58</f>
        <v>0.30385462715089367</v>
      </c>
    </row>
    <row r="59" spans="1:18" x14ac:dyDescent="0.2">
      <c r="A59" s="3"/>
      <c r="B59" s="123">
        <v>47484</v>
      </c>
      <c r="C59" s="119">
        <f t="shared" si="1"/>
        <v>263244.66392949258</v>
      </c>
      <c r="D59" s="119">
        <f t="shared" si="11"/>
        <v>763.40952539552848</v>
      </c>
      <c r="E59" s="119">
        <f t="shared" si="0"/>
        <v>587.59047460447152</v>
      </c>
      <c r="F59" s="119">
        <v>1351</v>
      </c>
      <c r="G59" s="120"/>
      <c r="H59" s="120"/>
      <c r="I59" s="119">
        <f t="shared" ref="I59:I66" si="14">I58</f>
        <v>731.97486249999974</v>
      </c>
      <c r="J59" s="120"/>
      <c r="K59" s="119"/>
      <c r="L59" s="119"/>
      <c r="M59" s="119"/>
      <c r="N59" s="119"/>
      <c r="O59" s="119">
        <f t="shared" si="13"/>
        <v>-31.434662895528731</v>
      </c>
      <c r="P59" s="119"/>
      <c r="Q59" s="120"/>
      <c r="R59" s="120"/>
    </row>
    <row r="60" spans="1:18" x14ac:dyDescent="0.2">
      <c r="B60" s="123">
        <v>47515</v>
      </c>
      <c r="C60" s="119">
        <f t="shared" si="1"/>
        <v>262657.07345488813</v>
      </c>
      <c r="D60" s="119">
        <f t="shared" si="11"/>
        <v>761.70551301917556</v>
      </c>
      <c r="E60" s="119">
        <f t="shared" si="0"/>
        <v>589.29448698082444</v>
      </c>
      <c r="F60" s="119">
        <v>1351</v>
      </c>
      <c r="G60" s="120"/>
      <c r="H60" s="120"/>
      <c r="I60" s="119">
        <f t="shared" si="14"/>
        <v>731.97486249999974</v>
      </c>
      <c r="J60" s="120"/>
      <c r="K60" s="119"/>
      <c r="L60" s="119"/>
      <c r="M60" s="119"/>
      <c r="N60" s="119"/>
      <c r="O60" s="119">
        <f t="shared" si="13"/>
        <v>-29.730650519175811</v>
      </c>
      <c r="P60" s="119"/>
      <c r="Q60" s="120"/>
      <c r="R60" s="120"/>
    </row>
    <row r="61" spans="1:18" x14ac:dyDescent="0.2">
      <c r="B61" s="123">
        <v>47543</v>
      </c>
      <c r="C61" s="119">
        <f t="shared" si="1"/>
        <v>262067.7789679073</v>
      </c>
      <c r="D61" s="119">
        <f t="shared" si="11"/>
        <v>759.99655900693108</v>
      </c>
      <c r="E61" s="119">
        <f t="shared" si="0"/>
        <v>591.00344099306892</v>
      </c>
      <c r="F61" s="119">
        <v>1351</v>
      </c>
      <c r="G61" s="120"/>
      <c r="H61" s="120"/>
      <c r="I61" s="119">
        <f t="shared" si="14"/>
        <v>731.97486249999974</v>
      </c>
      <c r="J61" s="120"/>
      <c r="K61" s="119"/>
      <c r="L61" s="119"/>
      <c r="M61" s="119"/>
      <c r="N61" s="119"/>
      <c r="O61" s="119">
        <f t="shared" si="13"/>
        <v>-28.021696506931335</v>
      </c>
      <c r="P61" s="119"/>
      <c r="Q61" s="120"/>
      <c r="R61" s="120"/>
    </row>
    <row r="62" spans="1:18" x14ac:dyDescent="0.2">
      <c r="B62" s="123">
        <v>47574</v>
      </c>
      <c r="C62" s="119">
        <f t="shared" si="1"/>
        <v>261476.77552691422</v>
      </c>
      <c r="D62" s="119">
        <f t="shared" si="11"/>
        <v>758.2826490280512</v>
      </c>
      <c r="E62" s="119">
        <f t="shared" si="0"/>
        <v>592.7173509719488</v>
      </c>
      <c r="F62" s="119">
        <v>1351</v>
      </c>
      <c r="G62" s="120"/>
      <c r="H62" s="120"/>
      <c r="I62" s="119">
        <f t="shared" si="14"/>
        <v>731.97486249999974</v>
      </c>
      <c r="J62" s="120"/>
      <c r="K62" s="119"/>
      <c r="L62" s="119"/>
      <c r="M62" s="119"/>
      <c r="N62" s="119"/>
      <c r="O62" s="119">
        <f t="shared" si="13"/>
        <v>-26.307786528051452</v>
      </c>
      <c r="P62" s="119"/>
      <c r="Q62" s="120"/>
      <c r="R62" s="120"/>
    </row>
    <row r="63" spans="1:18" x14ac:dyDescent="0.2">
      <c r="B63" s="123">
        <v>47604</v>
      </c>
      <c r="C63" s="119">
        <f t="shared" si="1"/>
        <v>260884.05817594228</v>
      </c>
      <c r="D63" s="119">
        <f t="shared" si="11"/>
        <v>756.56376871023258</v>
      </c>
      <c r="E63" s="119">
        <f t="shared" si="0"/>
        <v>594.43623128976742</v>
      </c>
      <c r="F63" s="119">
        <v>1351</v>
      </c>
      <c r="G63" s="120"/>
      <c r="H63" s="120"/>
      <c r="I63" s="119">
        <f t="shared" si="14"/>
        <v>731.97486249999974</v>
      </c>
      <c r="J63" s="120"/>
      <c r="K63" s="119"/>
      <c r="L63" s="119"/>
      <c r="M63" s="119"/>
      <c r="N63" s="119"/>
      <c r="O63" s="119">
        <f t="shared" si="13"/>
        <v>-24.588906210232835</v>
      </c>
      <c r="P63" s="119"/>
      <c r="Q63" s="120"/>
      <c r="R63" s="120"/>
    </row>
    <row r="64" spans="1:18" x14ac:dyDescent="0.2">
      <c r="B64" s="123">
        <v>47635</v>
      </c>
      <c r="C64" s="119">
        <f t="shared" si="1"/>
        <v>260289.62194465252</v>
      </c>
      <c r="D64" s="119">
        <f t="shared" si="11"/>
        <v>754.83990363949226</v>
      </c>
      <c r="E64" s="119">
        <f t="shared" si="0"/>
        <v>596.16009636050774</v>
      </c>
      <c r="F64" s="119">
        <v>1351</v>
      </c>
      <c r="G64" s="120"/>
      <c r="H64" s="120"/>
      <c r="I64" s="119">
        <f t="shared" si="14"/>
        <v>731.97486249999974</v>
      </c>
      <c r="J64" s="120"/>
      <c r="K64" s="119"/>
      <c r="L64" s="119"/>
      <c r="M64" s="119"/>
      <c r="N64" s="119"/>
      <c r="O64" s="119">
        <f t="shared" si="13"/>
        <v>-22.865041139492519</v>
      </c>
      <c r="P64" s="119"/>
      <c r="Q64" s="120"/>
      <c r="R64" s="120"/>
    </row>
    <row r="65" spans="1:18" x14ac:dyDescent="0.2">
      <c r="B65" s="123">
        <v>47665</v>
      </c>
      <c r="C65" s="119">
        <f t="shared" si="1"/>
        <v>259693.46184829201</v>
      </c>
      <c r="D65" s="119">
        <f t="shared" si="11"/>
        <v>753.11103936004668</v>
      </c>
      <c r="E65" s="119">
        <f t="shared" si="0"/>
        <v>597.88896063995332</v>
      </c>
      <c r="F65" s="119">
        <v>1351</v>
      </c>
      <c r="G65" s="120"/>
      <c r="H65" s="120"/>
      <c r="I65" s="119">
        <f t="shared" si="14"/>
        <v>731.97486249999974</v>
      </c>
      <c r="J65" s="120"/>
      <c r="K65" s="119"/>
      <c r="L65" s="119"/>
      <c r="M65" s="119"/>
      <c r="N65" s="119"/>
      <c r="O65" s="119">
        <f t="shared" si="13"/>
        <v>-21.13617686004693</v>
      </c>
      <c r="P65" s="119"/>
      <c r="Q65" s="120"/>
      <c r="R65" s="120"/>
    </row>
    <row r="66" spans="1:18" x14ac:dyDescent="0.2">
      <c r="B66" s="123">
        <v>47696</v>
      </c>
      <c r="C66" s="119">
        <f t="shared" si="1"/>
        <v>259095.57288765206</v>
      </c>
      <c r="D66" s="119">
        <f t="shared" si="11"/>
        <v>751.37716137419091</v>
      </c>
      <c r="E66" s="119">
        <f t="shared" si="0"/>
        <v>599.62283862580909</v>
      </c>
      <c r="F66" s="119">
        <v>1351</v>
      </c>
      <c r="G66" s="120"/>
      <c r="H66" s="120"/>
      <c r="I66" s="119">
        <f t="shared" si="14"/>
        <v>731.97486249999974</v>
      </c>
      <c r="J66" s="120"/>
      <c r="K66" s="119"/>
      <c r="L66" s="119"/>
      <c r="M66" s="119"/>
      <c r="N66" s="119"/>
      <c r="O66" s="119">
        <f t="shared" si="13"/>
        <v>-19.40229887419116</v>
      </c>
      <c r="P66" s="119"/>
      <c r="Q66" s="120"/>
      <c r="R66" s="120"/>
    </row>
    <row r="67" spans="1:18" x14ac:dyDescent="0.2">
      <c r="B67" s="123">
        <v>47726</v>
      </c>
      <c r="C67" s="119">
        <f t="shared" si="1"/>
        <v>258495.95004902626</v>
      </c>
      <c r="D67" s="119">
        <v>0</v>
      </c>
      <c r="E67" s="119">
        <v>0</v>
      </c>
      <c r="F67" s="119">
        <v>0</v>
      </c>
      <c r="G67" s="119"/>
      <c r="H67" s="119"/>
      <c r="I67" s="119"/>
      <c r="J67" s="120"/>
      <c r="K67" s="119"/>
      <c r="L67" s="119"/>
      <c r="M67" s="119"/>
      <c r="N67" s="119"/>
      <c r="O67" s="119">
        <f>D67-G67</f>
        <v>0</v>
      </c>
      <c r="P67" s="119"/>
      <c r="Q67" s="120"/>
      <c r="R67" s="120"/>
    </row>
    <row r="68" spans="1:18" s="4" customFormat="1" x14ac:dyDescent="0.2">
      <c r="A68"/>
      <c r="B68" s="124">
        <v>47727</v>
      </c>
      <c r="C68" s="125">
        <f>C67-G67</f>
        <v>258495.95004902626</v>
      </c>
      <c r="D68" s="125">
        <f t="shared" ref="D68:D79" si="15">(C68*S$2)/12</f>
        <v>749.63825514217615</v>
      </c>
      <c r="E68" s="125">
        <f t="shared" si="0"/>
        <v>601.36174485782385</v>
      </c>
      <c r="F68" s="125">
        <v>1351</v>
      </c>
      <c r="G68" s="126"/>
      <c r="H68" s="126"/>
      <c r="I68" s="119">
        <f t="shared" ref="I68" si="16">I66</f>
        <v>731.97486249999974</v>
      </c>
      <c r="J68" s="120"/>
      <c r="K68" s="125"/>
      <c r="L68" s="125"/>
      <c r="M68" s="125"/>
      <c r="N68" s="125"/>
      <c r="O68" s="125">
        <f t="shared" ref="O68:O79" si="17">I68-D68</f>
        <v>-17.663392642176404</v>
      </c>
      <c r="P68" s="125"/>
      <c r="Q68" s="126"/>
      <c r="R68" s="126"/>
    </row>
    <row r="69" spans="1:18" x14ac:dyDescent="0.2">
      <c r="B69" s="123">
        <v>47757</v>
      </c>
      <c r="C69" s="119">
        <f t="shared" si="1"/>
        <v>257894.58830416843</v>
      </c>
      <c r="D69" s="119">
        <f t="shared" si="15"/>
        <v>747.89430608208841</v>
      </c>
      <c r="E69" s="119">
        <f t="shared" si="0"/>
        <v>603.10569391791159</v>
      </c>
      <c r="F69" s="119">
        <v>1351</v>
      </c>
      <c r="G69" s="120"/>
      <c r="H69" s="120"/>
      <c r="I69" s="119">
        <f>I68</f>
        <v>731.97486249999974</v>
      </c>
      <c r="J69" s="120"/>
      <c r="K69" s="119"/>
      <c r="L69" s="119"/>
      <c r="M69" s="119"/>
      <c r="N69" s="119"/>
      <c r="O69" s="119">
        <f t="shared" si="17"/>
        <v>-15.919443582088661</v>
      </c>
      <c r="P69" s="119"/>
      <c r="Q69" s="120"/>
      <c r="R69" s="120"/>
    </row>
    <row r="70" spans="1:18" x14ac:dyDescent="0.2">
      <c r="B70" s="123">
        <v>47788</v>
      </c>
      <c r="C70" s="119">
        <f t="shared" si="1"/>
        <v>257291.4826102505</v>
      </c>
      <c r="D70" s="119">
        <f t="shared" si="15"/>
        <v>746.14529956972638</v>
      </c>
      <c r="E70" s="119">
        <f t="shared" si="0"/>
        <v>604.85470043027362</v>
      </c>
      <c r="F70" s="119">
        <v>1351</v>
      </c>
      <c r="G70" s="120"/>
      <c r="H70" s="120"/>
      <c r="I70" s="119">
        <f>I68</f>
        <v>731.97486249999974</v>
      </c>
      <c r="J70" s="120"/>
      <c r="K70" s="119"/>
      <c r="L70" s="119"/>
      <c r="M70" s="119"/>
      <c r="N70" s="119"/>
      <c r="O70" s="119">
        <f t="shared" si="17"/>
        <v>-14.170437069726631</v>
      </c>
      <c r="P70" s="119"/>
      <c r="Q70" s="120"/>
      <c r="R70" s="120"/>
    </row>
    <row r="71" spans="1:18" s="3" customFormat="1" x14ac:dyDescent="0.2">
      <c r="A71">
        <v>5</v>
      </c>
      <c r="B71" s="121">
        <v>47818</v>
      </c>
      <c r="C71" s="118">
        <f t="shared" si="1"/>
        <v>256686.62790982024</v>
      </c>
      <c r="D71" s="118">
        <f t="shared" si="15"/>
        <v>744.39122093847857</v>
      </c>
      <c r="E71" s="118">
        <f t="shared" si="0"/>
        <v>606.60877906152143</v>
      </c>
      <c r="F71" s="118">
        <v>1351</v>
      </c>
      <c r="G71" s="117"/>
      <c r="H71" s="117"/>
      <c r="I71" s="118">
        <f>I70*$A$31</f>
        <v>742.95448543749967</v>
      </c>
      <c r="J71" s="118">
        <f>(I71/$J$2)/0.66</f>
        <v>14.071107678740525</v>
      </c>
      <c r="K71" s="118">
        <f>SUM(E59:E71)+G67</f>
        <v>7164.6447987338806</v>
      </c>
      <c r="L71" s="118">
        <f>SUM(I59:I71)-SUM(D59:D71)</f>
        <v>-252.67722832862273</v>
      </c>
      <c r="M71" s="118">
        <v>230</v>
      </c>
      <c r="N71" s="118">
        <v>2500</v>
      </c>
      <c r="O71" s="118">
        <f t="shared" si="17"/>
        <v>-1.436735500978898</v>
      </c>
      <c r="P71" s="118">
        <f>SUM(O59:O71)+M71+N71</f>
        <v>2477.3227716713786</v>
      </c>
      <c r="Q71" s="118">
        <f>L71+M71+N71</f>
        <v>2477.3227716713773</v>
      </c>
      <c r="R71" s="122">
        <f>Q71/K71</f>
        <v>0.34577049403888999</v>
      </c>
    </row>
    <row r="72" spans="1:18" x14ac:dyDescent="0.2">
      <c r="A72" s="3"/>
      <c r="B72" s="123">
        <v>47849</v>
      </c>
      <c r="C72" s="119">
        <f t="shared" si="1"/>
        <v>256080.01913075871</v>
      </c>
      <c r="D72" s="119">
        <f t="shared" si="15"/>
        <v>742.63205547920018</v>
      </c>
      <c r="E72" s="119">
        <f t="shared" si="0"/>
        <v>608.36794452079982</v>
      </c>
      <c r="F72" s="119">
        <v>1351</v>
      </c>
      <c r="G72" s="120"/>
      <c r="H72" s="120"/>
      <c r="I72" s="119">
        <f t="shared" ref="I72:I79" si="18">I71</f>
        <v>742.95448543749967</v>
      </c>
      <c r="J72" s="120"/>
      <c r="K72" s="119"/>
      <c r="L72" s="119"/>
      <c r="M72" s="119"/>
      <c r="N72" s="119"/>
      <c r="O72" s="119">
        <f t="shared" si="17"/>
        <v>0.3224299582994945</v>
      </c>
      <c r="P72" s="119"/>
      <c r="Q72" s="120"/>
      <c r="R72" s="120"/>
    </row>
    <row r="73" spans="1:18" x14ac:dyDescent="0.2">
      <c r="B73" s="123">
        <v>47880</v>
      </c>
      <c r="C73" s="119">
        <f t="shared" si="1"/>
        <v>255471.6511862379</v>
      </c>
      <c r="D73" s="119">
        <f t="shared" si="15"/>
        <v>740.86778844008984</v>
      </c>
      <c r="E73" s="119">
        <f t="shared" si="0"/>
        <v>610.13221155991016</v>
      </c>
      <c r="F73" s="119">
        <v>1351</v>
      </c>
      <c r="G73" s="120"/>
      <c r="H73" s="120"/>
      <c r="I73" s="119">
        <f t="shared" si="18"/>
        <v>742.95448543749967</v>
      </c>
      <c r="J73" s="120"/>
      <c r="K73" s="119"/>
      <c r="L73" s="119"/>
      <c r="M73" s="119"/>
      <c r="N73" s="119"/>
      <c r="O73" s="119">
        <f t="shared" si="17"/>
        <v>2.0866969974098311</v>
      </c>
      <c r="P73" s="119"/>
      <c r="Q73" s="120"/>
      <c r="R73" s="120"/>
    </row>
    <row r="74" spans="1:18" x14ac:dyDescent="0.2">
      <c r="B74" s="123">
        <v>47908</v>
      </c>
      <c r="C74" s="119">
        <f t="shared" si="1"/>
        <v>254861.51897467798</v>
      </c>
      <c r="D74" s="119">
        <f t="shared" si="15"/>
        <v>739.09840502656607</v>
      </c>
      <c r="E74" s="119">
        <f t="shared" si="0"/>
        <v>611.90159497343393</v>
      </c>
      <c r="F74" s="119">
        <v>1351</v>
      </c>
      <c r="G74" s="120"/>
      <c r="H74" s="120"/>
      <c r="I74" s="119">
        <f t="shared" si="18"/>
        <v>742.95448543749967</v>
      </c>
      <c r="J74" s="120"/>
      <c r="K74" s="119"/>
      <c r="L74" s="119"/>
      <c r="M74" s="119"/>
      <c r="N74" s="119"/>
      <c r="O74" s="119">
        <f t="shared" si="17"/>
        <v>3.8560804109336004</v>
      </c>
      <c r="P74" s="119"/>
      <c r="Q74" s="120"/>
      <c r="R74" s="120"/>
    </row>
    <row r="75" spans="1:18" x14ac:dyDescent="0.2">
      <c r="B75" s="123">
        <v>47939</v>
      </c>
      <c r="C75" s="119">
        <f t="shared" si="1"/>
        <v>254249.61737970455</v>
      </c>
      <c r="D75" s="119">
        <f t="shared" si="15"/>
        <v>737.3238904011431</v>
      </c>
      <c r="E75" s="119">
        <f t="shared" si="0"/>
        <v>613.6761095988569</v>
      </c>
      <c r="F75" s="119">
        <v>1351</v>
      </c>
      <c r="G75" s="120"/>
      <c r="H75" s="120"/>
      <c r="I75" s="119">
        <f t="shared" si="18"/>
        <v>742.95448543749967</v>
      </c>
      <c r="J75" s="120"/>
      <c r="K75" s="119"/>
      <c r="L75" s="119"/>
      <c r="M75" s="119"/>
      <c r="N75" s="119"/>
      <c r="O75" s="119">
        <f t="shared" si="17"/>
        <v>5.6305950363565671</v>
      </c>
      <c r="P75" s="119"/>
      <c r="Q75" s="120"/>
      <c r="R75" s="120"/>
    </row>
    <row r="76" spans="1:18" x14ac:dyDescent="0.2">
      <c r="B76" s="123">
        <v>47969</v>
      </c>
      <c r="C76" s="119">
        <f t="shared" si="1"/>
        <v>253635.94127010569</v>
      </c>
      <c r="D76" s="119">
        <f t="shared" si="15"/>
        <v>735.54422968330653</v>
      </c>
      <c r="E76" s="119">
        <f t="shared" si="0"/>
        <v>615.45577031669347</v>
      </c>
      <c r="F76" s="119">
        <v>1351</v>
      </c>
      <c r="G76" s="120"/>
      <c r="H76" s="120"/>
      <c r="I76" s="119">
        <f t="shared" si="18"/>
        <v>742.95448543749967</v>
      </c>
      <c r="J76" s="120"/>
      <c r="K76" s="119"/>
      <c r="L76" s="119"/>
      <c r="M76" s="119"/>
      <c r="N76" s="119"/>
      <c r="O76" s="119">
        <f t="shared" si="17"/>
        <v>7.4102557541931446</v>
      </c>
      <c r="P76" s="119"/>
      <c r="Q76" s="120"/>
      <c r="R76" s="120"/>
    </row>
    <row r="77" spans="1:18" x14ac:dyDescent="0.2">
      <c r="B77" s="123">
        <v>48000</v>
      </c>
      <c r="C77" s="119">
        <f t="shared" ref="C77:C140" si="19">C76-E76</f>
        <v>253020.48549978901</v>
      </c>
      <c r="D77" s="119">
        <f t="shared" si="15"/>
        <v>733.75940794938799</v>
      </c>
      <c r="E77" s="119">
        <f t="shared" si="0"/>
        <v>617.24059205061201</v>
      </c>
      <c r="F77" s="119">
        <v>1351</v>
      </c>
      <c r="G77" s="120"/>
      <c r="H77" s="120"/>
      <c r="I77" s="119">
        <f t="shared" si="18"/>
        <v>742.95448543749967</v>
      </c>
      <c r="J77" s="120"/>
      <c r="K77" s="119"/>
      <c r="L77" s="119"/>
      <c r="M77" s="119"/>
      <c r="N77" s="119"/>
      <c r="O77" s="119">
        <f t="shared" si="17"/>
        <v>9.1950774881116786</v>
      </c>
      <c r="P77" s="119"/>
      <c r="Q77" s="120"/>
      <c r="R77" s="120"/>
    </row>
    <row r="78" spans="1:18" x14ac:dyDescent="0.2">
      <c r="B78" s="123">
        <v>48030</v>
      </c>
      <c r="C78" s="119">
        <f t="shared" si="19"/>
        <v>252403.24490773841</v>
      </c>
      <c r="D78" s="119">
        <f t="shared" si="15"/>
        <v>731.96941023244142</v>
      </c>
      <c r="E78" s="119">
        <f t="shared" si="0"/>
        <v>619.03058976755858</v>
      </c>
      <c r="F78" s="119">
        <v>1351</v>
      </c>
      <c r="G78" s="120"/>
      <c r="H78" s="120"/>
      <c r="I78" s="119">
        <f t="shared" si="18"/>
        <v>742.95448543749967</v>
      </c>
      <c r="J78" s="120"/>
      <c r="K78" s="119"/>
      <c r="L78" s="119"/>
      <c r="M78" s="119"/>
      <c r="N78" s="119"/>
      <c r="O78" s="119">
        <f t="shared" si="17"/>
        <v>10.985075205058251</v>
      </c>
      <c r="P78" s="119"/>
      <c r="Q78" s="120"/>
      <c r="R78" s="120"/>
    </row>
    <row r="79" spans="1:18" x14ac:dyDescent="0.2">
      <c r="B79" s="123">
        <v>48061</v>
      </c>
      <c r="C79" s="119">
        <f t="shared" si="19"/>
        <v>251784.21431797085</v>
      </c>
      <c r="D79" s="119">
        <f t="shared" si="15"/>
        <v>730.17422152211532</v>
      </c>
      <c r="E79" s="119">
        <f t="shared" si="0"/>
        <v>620.82577847788468</v>
      </c>
      <c r="F79" s="119">
        <v>1351</v>
      </c>
      <c r="G79" s="120"/>
      <c r="H79" s="120"/>
      <c r="I79" s="119">
        <f t="shared" si="18"/>
        <v>742.95448543749967</v>
      </c>
      <c r="J79" s="120"/>
      <c r="K79" s="119"/>
      <c r="L79" s="119"/>
      <c r="M79" s="119"/>
      <c r="N79" s="119"/>
      <c r="O79" s="119">
        <f t="shared" si="17"/>
        <v>12.780263915384353</v>
      </c>
      <c r="P79" s="119"/>
      <c r="Q79" s="120"/>
      <c r="R79" s="120"/>
    </row>
    <row r="80" spans="1:18" x14ac:dyDescent="0.2">
      <c r="B80" s="123">
        <v>48091</v>
      </c>
      <c r="C80" s="119">
        <f t="shared" si="19"/>
        <v>251163.38853949297</v>
      </c>
      <c r="D80" s="119">
        <v>0</v>
      </c>
      <c r="E80" s="119">
        <v>0</v>
      </c>
      <c r="F80" s="119">
        <v>0</v>
      </c>
      <c r="G80" s="119"/>
      <c r="H80" s="119"/>
      <c r="I80" s="119"/>
      <c r="J80" s="120"/>
      <c r="K80" s="119"/>
      <c r="L80" s="119"/>
      <c r="M80" s="119"/>
      <c r="N80" s="119"/>
      <c r="O80" s="119">
        <f>D80-G80</f>
        <v>0</v>
      </c>
      <c r="P80" s="119"/>
      <c r="Q80" s="120"/>
      <c r="R80" s="120"/>
    </row>
    <row r="81" spans="1:18" x14ac:dyDescent="0.2">
      <c r="B81" s="123">
        <v>48092</v>
      </c>
      <c r="C81" s="119">
        <f>C80-G80</f>
        <v>251163.38853949297</v>
      </c>
      <c r="D81" s="119">
        <f t="shared" ref="D81:D92" si="20">(C81*S$2)/12</f>
        <v>728.37382676452955</v>
      </c>
      <c r="E81" s="119">
        <f t="shared" ref="E81:E149" si="21">F81-D81</f>
        <v>622.62617323547045</v>
      </c>
      <c r="F81" s="119">
        <v>1351</v>
      </c>
      <c r="G81" s="120"/>
      <c r="H81" s="120"/>
      <c r="I81" s="119">
        <f t="shared" ref="I81" si="22">I79</f>
        <v>742.95448543749967</v>
      </c>
      <c r="J81" s="120"/>
      <c r="K81" s="119"/>
      <c r="L81" s="119"/>
      <c r="M81" s="119"/>
      <c r="N81" s="119"/>
      <c r="O81" s="119">
        <f t="shared" ref="O81:O92" si="23">I81-D81</f>
        <v>14.580658672970117</v>
      </c>
      <c r="P81" s="119"/>
      <c r="Q81" s="120"/>
      <c r="R81" s="120"/>
    </row>
    <row r="82" spans="1:18" x14ac:dyDescent="0.2">
      <c r="B82" s="123">
        <v>48122</v>
      </c>
      <c r="C82" s="119">
        <f t="shared" si="19"/>
        <v>250540.76236625749</v>
      </c>
      <c r="D82" s="119">
        <f t="shared" si="20"/>
        <v>726.56821086214666</v>
      </c>
      <c r="E82" s="119">
        <f t="shared" si="21"/>
        <v>624.43178913785334</v>
      </c>
      <c r="F82" s="119">
        <v>1351</v>
      </c>
      <c r="G82" s="120"/>
      <c r="H82" s="120"/>
      <c r="I82" s="119">
        <f>I81</f>
        <v>742.95448543749967</v>
      </c>
      <c r="J82" s="120"/>
      <c r="K82" s="119"/>
      <c r="L82" s="119"/>
      <c r="M82" s="119"/>
      <c r="N82" s="119"/>
      <c r="O82" s="119">
        <f t="shared" si="23"/>
        <v>16.386274575353013</v>
      </c>
      <c r="P82" s="119"/>
      <c r="Q82" s="120"/>
      <c r="R82" s="120"/>
    </row>
    <row r="83" spans="1:18" x14ac:dyDescent="0.2">
      <c r="B83" s="123">
        <v>48153</v>
      </c>
      <c r="C83" s="119">
        <f t="shared" si="19"/>
        <v>249916.33057711963</v>
      </c>
      <c r="D83" s="119">
        <f t="shared" si="20"/>
        <v>724.75735867364699</v>
      </c>
      <c r="E83" s="119">
        <f t="shared" si="21"/>
        <v>626.24264132635301</v>
      </c>
      <c r="F83" s="119">
        <v>1351</v>
      </c>
      <c r="G83" s="120"/>
      <c r="H83" s="120"/>
      <c r="I83" s="119">
        <f>I81</f>
        <v>742.95448543749967</v>
      </c>
      <c r="J83" s="120"/>
      <c r="K83" s="119"/>
      <c r="L83" s="119"/>
      <c r="M83" s="119"/>
      <c r="N83" s="119"/>
      <c r="O83" s="119">
        <f t="shared" si="23"/>
        <v>18.19712676385268</v>
      </c>
      <c r="P83" s="119"/>
      <c r="Q83" s="120"/>
      <c r="R83" s="120"/>
    </row>
    <row r="84" spans="1:18" s="3" customFormat="1" x14ac:dyDescent="0.2">
      <c r="A84" s="3">
        <v>6</v>
      </c>
      <c r="B84" s="121">
        <v>48183</v>
      </c>
      <c r="C84" s="118">
        <f t="shared" si="19"/>
        <v>249290.08793579327</v>
      </c>
      <c r="D84" s="118">
        <f t="shared" si="20"/>
        <v>722.9412550138004</v>
      </c>
      <c r="E84" s="118">
        <f t="shared" si="21"/>
        <v>628.0587449861996</v>
      </c>
      <c r="F84" s="118">
        <v>1351</v>
      </c>
      <c r="G84" s="117"/>
      <c r="H84" s="117"/>
      <c r="I84" s="118">
        <f>I83*$A$31</f>
        <v>754.09880271906206</v>
      </c>
      <c r="J84" s="118">
        <f>(I84/$J$2)/0.66</f>
        <v>14.28217429392163</v>
      </c>
      <c r="K84" s="118">
        <f>SUM(E72:E84)+G80</f>
        <v>7417.9899399516253</v>
      </c>
      <c r="L84" s="118">
        <f>SUM(I72:I84)-SUM(D72:D84)</f>
        <v>132.58808248318564</v>
      </c>
      <c r="M84" s="118">
        <v>230</v>
      </c>
      <c r="N84" s="118">
        <v>2500</v>
      </c>
      <c r="O84" s="118">
        <f t="shared" si="23"/>
        <v>31.157547705261663</v>
      </c>
      <c r="P84" s="118">
        <f>SUM(O72:O84)+M84+N84</f>
        <v>2862.5880824831843</v>
      </c>
      <c r="Q84" s="118">
        <f>L84+M84+N84</f>
        <v>2862.5880824831856</v>
      </c>
      <c r="R84" s="122">
        <f>Q84/K84</f>
        <v>0.38589808097014666</v>
      </c>
    </row>
    <row r="85" spans="1:18" x14ac:dyDescent="0.2">
      <c r="B85" s="123">
        <v>48214</v>
      </c>
      <c r="C85" s="119">
        <f t="shared" si="19"/>
        <v>248662.02919080708</v>
      </c>
      <c r="D85" s="119">
        <f t="shared" si="20"/>
        <v>721.11988465334059</v>
      </c>
      <c r="E85" s="119">
        <f t="shared" si="21"/>
        <v>629.88011534665941</v>
      </c>
      <c r="F85" s="119">
        <v>1351</v>
      </c>
      <c r="G85" s="120"/>
      <c r="H85" s="120"/>
      <c r="I85" s="119">
        <f t="shared" ref="I85:I92" si="24">I84</f>
        <v>754.09880271906206</v>
      </c>
      <c r="J85" s="120"/>
      <c r="K85" s="119"/>
      <c r="L85" s="119"/>
      <c r="M85" s="119"/>
      <c r="N85" s="119"/>
      <c r="O85" s="119">
        <f t="shared" si="23"/>
        <v>32.978918065721473</v>
      </c>
      <c r="P85" s="119"/>
      <c r="Q85" s="120"/>
      <c r="R85" s="120"/>
    </row>
    <row r="86" spans="1:18" x14ac:dyDescent="0.2">
      <c r="B86" s="123">
        <v>48245</v>
      </c>
      <c r="C86" s="119">
        <f t="shared" si="19"/>
        <v>248032.14907546042</v>
      </c>
      <c r="D86" s="119">
        <f t="shared" si="20"/>
        <v>719.29323231883518</v>
      </c>
      <c r="E86" s="119">
        <f t="shared" si="21"/>
        <v>631.70676768116482</v>
      </c>
      <c r="F86" s="119">
        <v>1351</v>
      </c>
      <c r="G86" s="120"/>
      <c r="H86" s="120"/>
      <c r="I86" s="119">
        <f t="shared" si="24"/>
        <v>754.09880271906206</v>
      </c>
      <c r="J86" s="120"/>
      <c r="K86" s="119"/>
      <c r="L86" s="119"/>
      <c r="M86" s="119"/>
      <c r="N86" s="119"/>
      <c r="O86" s="119">
        <f t="shared" si="23"/>
        <v>34.805570400226884</v>
      </c>
      <c r="P86" s="119"/>
      <c r="Q86" s="120"/>
      <c r="R86" s="120"/>
    </row>
    <row r="87" spans="1:18" x14ac:dyDescent="0.2">
      <c r="B87" s="123">
        <v>48274</v>
      </c>
      <c r="C87" s="119">
        <f t="shared" si="19"/>
        <v>247400.44230777925</v>
      </c>
      <c r="D87" s="119">
        <f t="shared" si="20"/>
        <v>717.46128269255985</v>
      </c>
      <c r="E87" s="119">
        <f t="shared" si="21"/>
        <v>633.53871730744015</v>
      </c>
      <c r="F87" s="119">
        <v>1351</v>
      </c>
      <c r="G87" s="120"/>
      <c r="H87" s="120"/>
      <c r="I87" s="119">
        <f t="shared" si="24"/>
        <v>754.09880271906206</v>
      </c>
      <c r="J87" s="120"/>
      <c r="K87" s="119"/>
      <c r="L87" s="119"/>
      <c r="M87" s="119"/>
      <c r="N87" s="119"/>
      <c r="O87" s="119">
        <f t="shared" si="23"/>
        <v>36.637520026502216</v>
      </c>
      <c r="P87" s="119"/>
      <c r="Q87" s="120"/>
      <c r="R87" s="120"/>
    </row>
    <row r="88" spans="1:18" x14ac:dyDescent="0.2">
      <c r="B88" s="123">
        <v>48305</v>
      </c>
      <c r="C88" s="119">
        <f t="shared" si="19"/>
        <v>246766.9035904718</v>
      </c>
      <c r="D88" s="119">
        <f t="shared" si="20"/>
        <v>715.62402041236817</v>
      </c>
      <c r="E88" s="119">
        <f t="shared" si="21"/>
        <v>635.37597958763183</v>
      </c>
      <c r="F88" s="119">
        <v>1351</v>
      </c>
      <c r="G88" s="120"/>
      <c r="H88" s="120"/>
      <c r="I88" s="119">
        <f t="shared" si="24"/>
        <v>754.09880271906206</v>
      </c>
      <c r="J88" s="120"/>
      <c r="K88" s="119"/>
      <c r="L88" s="119"/>
      <c r="M88" s="119"/>
      <c r="N88" s="119"/>
      <c r="O88" s="119">
        <f t="shared" si="23"/>
        <v>38.474782306693896</v>
      </c>
      <c r="P88" s="119"/>
      <c r="Q88" s="120"/>
      <c r="R88" s="120"/>
    </row>
    <row r="89" spans="1:18" x14ac:dyDescent="0.2">
      <c r="B89" s="123">
        <v>48335</v>
      </c>
      <c r="C89" s="119">
        <f t="shared" si="19"/>
        <v>246131.52761088416</v>
      </c>
      <c r="D89" s="119">
        <f t="shared" si="20"/>
        <v>713.78143007156405</v>
      </c>
      <c r="E89" s="119">
        <f t="shared" si="21"/>
        <v>637.21856992843595</v>
      </c>
      <c r="F89" s="119">
        <v>1351</v>
      </c>
      <c r="G89" s="120"/>
      <c r="H89" s="120"/>
      <c r="I89" s="119">
        <f t="shared" si="24"/>
        <v>754.09880271906206</v>
      </c>
      <c r="J89" s="120"/>
      <c r="K89" s="119"/>
      <c r="L89" s="119"/>
      <c r="M89" s="119"/>
      <c r="N89" s="119"/>
      <c r="O89" s="119">
        <f t="shared" si="23"/>
        <v>40.317372647498019</v>
      </c>
      <c r="P89" s="119"/>
      <c r="Q89" s="120"/>
      <c r="R89" s="120"/>
    </row>
    <row r="90" spans="1:18" x14ac:dyDescent="0.2">
      <c r="B90" s="123">
        <v>48366</v>
      </c>
      <c r="C90" s="119">
        <f t="shared" si="19"/>
        <v>245494.30904095573</v>
      </c>
      <c r="D90" s="119">
        <f t="shared" si="20"/>
        <v>711.93349621877167</v>
      </c>
      <c r="E90" s="119">
        <f t="shared" si="21"/>
        <v>639.06650378122833</v>
      </c>
      <c r="F90" s="119">
        <v>1351</v>
      </c>
      <c r="G90" s="120"/>
      <c r="H90" s="120"/>
      <c r="I90" s="119">
        <f t="shared" si="24"/>
        <v>754.09880271906206</v>
      </c>
      <c r="J90" s="120"/>
      <c r="K90" s="119"/>
      <c r="L90" s="119"/>
      <c r="M90" s="119"/>
      <c r="N90" s="119"/>
      <c r="O90" s="119">
        <f t="shared" si="23"/>
        <v>42.165306500290399</v>
      </c>
      <c r="P90" s="119"/>
      <c r="Q90" s="120"/>
      <c r="R90" s="120"/>
    </row>
    <row r="91" spans="1:18" x14ac:dyDescent="0.2">
      <c r="B91" s="123">
        <v>48396</v>
      </c>
      <c r="C91" s="119">
        <f t="shared" si="19"/>
        <v>244855.24253717452</v>
      </c>
      <c r="D91" s="119">
        <f t="shared" si="20"/>
        <v>710.08020335780611</v>
      </c>
      <c r="E91" s="119">
        <f t="shared" si="21"/>
        <v>640.91979664219389</v>
      </c>
      <c r="F91" s="119">
        <v>1351</v>
      </c>
      <c r="G91" s="120"/>
      <c r="H91" s="120"/>
      <c r="I91" s="119">
        <f t="shared" si="24"/>
        <v>754.09880271906206</v>
      </c>
      <c r="J91" s="120"/>
      <c r="K91" s="119"/>
      <c r="L91" s="119"/>
      <c r="M91" s="119"/>
      <c r="N91" s="119"/>
      <c r="O91" s="119">
        <f t="shared" si="23"/>
        <v>44.018599361255951</v>
      </c>
      <c r="P91" s="119"/>
      <c r="Q91" s="120"/>
      <c r="R91" s="120"/>
    </row>
    <row r="92" spans="1:18" x14ac:dyDescent="0.2">
      <c r="B92" s="123">
        <v>48427</v>
      </c>
      <c r="C92" s="119">
        <f t="shared" si="19"/>
        <v>244214.32274053231</v>
      </c>
      <c r="D92" s="119">
        <f t="shared" si="20"/>
        <v>708.22153594754366</v>
      </c>
      <c r="E92" s="119">
        <f t="shared" si="21"/>
        <v>642.77846405245634</v>
      </c>
      <c r="F92" s="119">
        <v>1351</v>
      </c>
      <c r="G92" s="120"/>
      <c r="H92" s="120"/>
      <c r="I92" s="119">
        <f t="shared" si="24"/>
        <v>754.09880271906206</v>
      </c>
      <c r="J92" s="120"/>
      <c r="K92" s="119"/>
      <c r="L92" s="119"/>
      <c r="M92" s="119"/>
      <c r="N92" s="119"/>
      <c r="O92" s="119">
        <f t="shared" si="23"/>
        <v>45.877266771518407</v>
      </c>
      <c r="P92" s="119"/>
      <c r="Q92" s="120"/>
      <c r="R92" s="120"/>
    </row>
    <row r="93" spans="1:18" x14ac:dyDescent="0.2">
      <c r="B93" s="123">
        <v>48457</v>
      </c>
      <c r="C93" s="119">
        <f t="shared" si="19"/>
        <v>243571.54427647986</v>
      </c>
      <c r="D93" s="119">
        <v>0</v>
      </c>
      <c r="E93" s="119">
        <v>0</v>
      </c>
      <c r="F93" s="119">
        <v>0</v>
      </c>
      <c r="G93" s="119"/>
      <c r="H93" s="119"/>
      <c r="I93" s="119"/>
      <c r="J93" s="120"/>
      <c r="K93" s="119"/>
      <c r="L93" s="119"/>
      <c r="M93" s="119"/>
      <c r="N93" s="119"/>
      <c r="O93" s="119">
        <f>D93-G93</f>
        <v>0</v>
      </c>
      <c r="P93" s="119"/>
      <c r="Q93" s="120"/>
      <c r="R93" s="120"/>
    </row>
    <row r="94" spans="1:18" x14ac:dyDescent="0.2">
      <c r="B94" s="123">
        <v>48458</v>
      </c>
      <c r="C94" s="119">
        <f>C93-G93</f>
        <v>243571.54427647986</v>
      </c>
      <c r="D94" s="119">
        <f t="shared" ref="D94:D105" si="25">(C94*S$2)/12</f>
        <v>706.35747840179158</v>
      </c>
      <c r="E94" s="119">
        <f t="shared" si="21"/>
        <v>644.64252159820842</v>
      </c>
      <c r="F94" s="119">
        <v>1351</v>
      </c>
      <c r="G94" s="120"/>
      <c r="H94" s="120"/>
      <c r="I94" s="119">
        <f t="shared" ref="I94" si="26">I92</f>
        <v>754.09880271906206</v>
      </c>
      <c r="J94" s="120"/>
      <c r="K94" s="119"/>
      <c r="L94" s="119"/>
      <c r="M94" s="119"/>
      <c r="N94" s="119"/>
      <c r="O94" s="119">
        <f t="shared" ref="O94:O105" si="27">I94-D94</f>
        <v>47.741324317270482</v>
      </c>
      <c r="P94" s="119"/>
      <c r="Q94" s="120"/>
      <c r="R94" s="120"/>
    </row>
    <row r="95" spans="1:18" x14ac:dyDescent="0.2">
      <c r="B95" s="123">
        <v>48488</v>
      </c>
      <c r="C95" s="119">
        <f t="shared" si="19"/>
        <v>242926.90175488166</v>
      </c>
      <c r="D95" s="119">
        <f t="shared" si="25"/>
        <v>704.48801508915676</v>
      </c>
      <c r="E95" s="119">
        <f t="shared" si="21"/>
        <v>646.51198491084324</v>
      </c>
      <c r="F95" s="119">
        <v>1351</v>
      </c>
      <c r="G95" s="120"/>
      <c r="H95" s="120"/>
      <c r="I95" s="119">
        <f>I94</f>
        <v>754.09880271906206</v>
      </c>
      <c r="J95" s="120"/>
      <c r="K95" s="119"/>
      <c r="L95" s="119"/>
      <c r="M95" s="119"/>
      <c r="N95" s="119"/>
      <c r="O95" s="119">
        <f t="shared" si="27"/>
        <v>49.610787629905303</v>
      </c>
      <c r="P95" s="119"/>
      <c r="Q95" s="120"/>
      <c r="R95" s="120"/>
    </row>
    <row r="96" spans="1:18" x14ac:dyDescent="0.2">
      <c r="B96" s="123">
        <v>48519</v>
      </c>
      <c r="C96" s="119">
        <f t="shared" si="19"/>
        <v>242280.38976997082</v>
      </c>
      <c r="D96" s="119">
        <f t="shared" si="25"/>
        <v>702.61313033291526</v>
      </c>
      <c r="E96" s="119">
        <f t="shared" si="21"/>
        <v>648.38686966708474</v>
      </c>
      <c r="F96" s="119">
        <v>1351</v>
      </c>
      <c r="G96" s="120"/>
      <c r="H96" s="120"/>
      <c r="I96" s="119">
        <f>I94</f>
        <v>754.09880271906206</v>
      </c>
      <c r="J96" s="120"/>
      <c r="K96" s="119"/>
      <c r="L96" s="119"/>
      <c r="M96" s="119"/>
      <c r="N96" s="119"/>
      <c r="O96" s="119">
        <f t="shared" si="27"/>
        <v>51.485672386146803</v>
      </c>
      <c r="P96" s="119"/>
      <c r="Q96" s="120"/>
      <c r="R96" s="120"/>
    </row>
    <row r="97" spans="1:18" s="3" customFormat="1" x14ac:dyDescent="0.2">
      <c r="A97" s="3">
        <v>7</v>
      </c>
      <c r="B97" s="121">
        <v>48549</v>
      </c>
      <c r="C97" s="118">
        <f t="shared" si="19"/>
        <v>241632.00290030372</v>
      </c>
      <c r="D97" s="118">
        <f t="shared" si="25"/>
        <v>700.73280841088081</v>
      </c>
      <c r="E97" s="118">
        <f t="shared" si="21"/>
        <v>650.26719158911919</v>
      </c>
      <c r="F97" s="118">
        <v>1351</v>
      </c>
      <c r="G97" s="117"/>
      <c r="H97" s="117"/>
      <c r="I97" s="118">
        <f>I96*$A$31</f>
        <v>765.41028475984797</v>
      </c>
      <c r="J97" s="118">
        <f>(I97/$J$2)/0.66</f>
        <v>14.496406908330455</v>
      </c>
      <c r="K97" s="118">
        <f>SUM(E85:E97)+G93</f>
        <v>7680.2934820924656</v>
      </c>
      <c r="L97" s="118">
        <f>SUM(I85:I97)-SUM(D85:D97)</f>
        <v>528.79059676199722</v>
      </c>
      <c r="M97" s="118">
        <v>230</v>
      </c>
      <c r="N97" s="118">
        <v>2500</v>
      </c>
      <c r="O97" s="118">
        <f t="shared" si="27"/>
        <v>64.677476348967161</v>
      </c>
      <c r="P97" s="118">
        <f>SUM(O85:O97)+M97+N97</f>
        <v>3258.7905967619972</v>
      </c>
      <c r="Q97" s="118">
        <f>L97+M97+N97</f>
        <v>3258.7905967619972</v>
      </c>
      <c r="R97" s="122">
        <f>Q97/K97</f>
        <v>0.42430547795605233</v>
      </c>
    </row>
    <row r="98" spans="1:18" x14ac:dyDescent="0.2">
      <c r="B98" s="123">
        <v>48580</v>
      </c>
      <c r="C98" s="119">
        <f t="shared" si="19"/>
        <v>240981.73570871461</v>
      </c>
      <c r="D98" s="119">
        <f t="shared" si="25"/>
        <v>698.84703355527233</v>
      </c>
      <c r="E98" s="119">
        <f t="shared" si="21"/>
        <v>652.15296644472767</v>
      </c>
      <c r="F98" s="119">
        <v>1351</v>
      </c>
      <c r="G98" s="120"/>
      <c r="H98" s="120"/>
      <c r="I98" s="119">
        <f t="shared" ref="I98:I105" si="28">I97</f>
        <v>765.41028475984797</v>
      </c>
      <c r="J98" s="120"/>
      <c r="K98" s="119"/>
      <c r="L98" s="119"/>
      <c r="M98" s="119"/>
      <c r="N98" s="119"/>
      <c r="O98" s="119">
        <f t="shared" si="27"/>
        <v>66.563251204575636</v>
      </c>
      <c r="P98" s="119"/>
      <c r="Q98" s="120"/>
      <c r="R98" s="120"/>
    </row>
    <row r="99" spans="1:18" x14ac:dyDescent="0.2">
      <c r="B99" s="123">
        <v>48611</v>
      </c>
      <c r="C99" s="119">
        <f t="shared" si="19"/>
        <v>240329.58274226988</v>
      </c>
      <c r="D99" s="119">
        <f t="shared" si="25"/>
        <v>696.95578995258256</v>
      </c>
      <c r="E99" s="119">
        <f t="shared" si="21"/>
        <v>654.04421004741744</v>
      </c>
      <c r="F99" s="119">
        <v>1351</v>
      </c>
      <c r="G99" s="120"/>
      <c r="H99" s="120"/>
      <c r="I99" s="119">
        <f t="shared" si="28"/>
        <v>765.41028475984797</v>
      </c>
      <c r="J99" s="120"/>
      <c r="K99" s="119"/>
      <c r="L99" s="119"/>
      <c r="M99" s="119"/>
      <c r="N99" s="119"/>
      <c r="O99" s="119">
        <f t="shared" si="27"/>
        <v>68.454494807265405</v>
      </c>
      <c r="P99" s="119"/>
      <c r="Q99" s="120"/>
      <c r="R99" s="120"/>
    </row>
    <row r="100" spans="1:18" x14ac:dyDescent="0.2">
      <c r="B100" s="123">
        <v>48639</v>
      </c>
      <c r="C100" s="119">
        <f t="shared" si="19"/>
        <v>239675.53853222245</v>
      </c>
      <c r="D100" s="119">
        <f t="shared" si="25"/>
        <v>695.059061743445</v>
      </c>
      <c r="E100" s="119">
        <f t="shared" si="21"/>
        <v>655.940938256555</v>
      </c>
      <c r="F100" s="119">
        <v>1351</v>
      </c>
      <c r="G100" s="120"/>
      <c r="H100" s="120"/>
      <c r="I100" s="119">
        <f t="shared" si="28"/>
        <v>765.41028475984797</v>
      </c>
      <c r="J100" s="120"/>
      <c r="K100" s="119"/>
      <c r="L100" s="119"/>
      <c r="M100" s="119"/>
      <c r="N100" s="119"/>
      <c r="O100" s="119">
        <f t="shared" si="27"/>
        <v>70.351223016402969</v>
      </c>
      <c r="P100" s="119"/>
      <c r="Q100" s="120"/>
      <c r="R100" s="120"/>
    </row>
    <row r="101" spans="1:18" x14ac:dyDescent="0.2">
      <c r="B101" s="123">
        <v>48670</v>
      </c>
      <c r="C101" s="119">
        <f t="shared" si="19"/>
        <v>239019.59759396588</v>
      </c>
      <c r="D101" s="119">
        <f t="shared" si="25"/>
        <v>693.15683302250102</v>
      </c>
      <c r="E101" s="119">
        <f t="shared" si="21"/>
        <v>657.84316697749898</v>
      </c>
      <c r="F101" s="119">
        <v>1351</v>
      </c>
      <c r="G101" s="120"/>
      <c r="H101" s="120"/>
      <c r="I101" s="119">
        <f t="shared" si="28"/>
        <v>765.41028475984797</v>
      </c>
      <c r="J101" s="120"/>
      <c r="K101" s="119"/>
      <c r="L101" s="119"/>
      <c r="M101" s="119"/>
      <c r="N101" s="119"/>
      <c r="O101" s="119">
        <f t="shared" si="27"/>
        <v>72.25345173734695</v>
      </c>
      <c r="P101" s="119"/>
      <c r="Q101" s="120"/>
      <c r="R101" s="120"/>
    </row>
    <row r="102" spans="1:18" x14ac:dyDescent="0.2">
      <c r="B102" s="123">
        <v>48700</v>
      </c>
      <c r="C102" s="119">
        <f t="shared" si="19"/>
        <v>238361.75442698839</v>
      </c>
      <c r="D102" s="119">
        <f t="shared" si="25"/>
        <v>691.24908783826629</v>
      </c>
      <c r="E102" s="119">
        <f t="shared" si="21"/>
        <v>659.75091216173371</v>
      </c>
      <c r="F102" s="119">
        <v>1351</v>
      </c>
      <c r="G102" s="120"/>
      <c r="H102" s="120"/>
      <c r="I102" s="119">
        <f t="shared" si="28"/>
        <v>765.41028475984797</v>
      </c>
      <c r="J102" s="120"/>
      <c r="K102" s="119"/>
      <c r="L102" s="119"/>
      <c r="M102" s="119"/>
      <c r="N102" s="119"/>
      <c r="O102" s="119">
        <f t="shared" si="27"/>
        <v>74.161196921581677</v>
      </c>
      <c r="P102" s="119"/>
      <c r="Q102" s="120"/>
      <c r="R102" s="120"/>
    </row>
    <row r="103" spans="1:18" x14ac:dyDescent="0.2">
      <c r="B103" s="123">
        <v>48731</v>
      </c>
      <c r="C103" s="119">
        <f t="shared" si="19"/>
        <v>237702.00351482665</v>
      </c>
      <c r="D103" s="119">
        <f t="shared" si="25"/>
        <v>689.3358101929972</v>
      </c>
      <c r="E103" s="119">
        <f t="shared" si="21"/>
        <v>661.6641898070028</v>
      </c>
      <c r="F103" s="119">
        <v>1351</v>
      </c>
      <c r="G103" s="120"/>
      <c r="H103" s="120"/>
      <c r="I103" s="119">
        <f t="shared" si="28"/>
        <v>765.41028475984797</v>
      </c>
      <c r="J103" s="120"/>
      <c r="K103" s="119"/>
      <c r="L103" s="119"/>
      <c r="M103" s="119"/>
      <c r="N103" s="119"/>
      <c r="O103" s="119">
        <f t="shared" si="27"/>
        <v>76.074474566850768</v>
      </c>
      <c r="P103" s="119"/>
      <c r="Q103" s="120"/>
      <c r="R103" s="120"/>
    </row>
    <row r="104" spans="1:18" x14ac:dyDescent="0.2">
      <c r="B104" s="123">
        <v>48761</v>
      </c>
      <c r="C104" s="119">
        <f t="shared" si="19"/>
        <v>237040.33932501965</v>
      </c>
      <c r="D104" s="119">
        <f t="shared" si="25"/>
        <v>687.41698404255692</v>
      </c>
      <c r="E104" s="119">
        <f t="shared" si="21"/>
        <v>663.58301595744308</v>
      </c>
      <c r="F104" s="119">
        <v>1351</v>
      </c>
      <c r="G104" s="120"/>
      <c r="H104" s="120"/>
      <c r="I104" s="119">
        <f t="shared" si="28"/>
        <v>765.41028475984797</v>
      </c>
      <c r="J104" s="120"/>
      <c r="K104" s="119"/>
      <c r="L104" s="119"/>
      <c r="M104" s="119"/>
      <c r="N104" s="119"/>
      <c r="O104" s="119">
        <f t="shared" si="27"/>
        <v>77.993300717291049</v>
      </c>
      <c r="P104" s="119"/>
      <c r="Q104" s="120"/>
      <c r="R104" s="120"/>
    </row>
    <row r="105" spans="1:18" x14ac:dyDescent="0.2">
      <c r="B105" s="123">
        <v>48792</v>
      </c>
      <c r="C105" s="119">
        <f t="shared" si="19"/>
        <v>236376.75630906221</v>
      </c>
      <c r="D105" s="119">
        <f t="shared" si="25"/>
        <v>685.49259329628046</v>
      </c>
      <c r="E105" s="119">
        <f t="shared" si="21"/>
        <v>665.50740670371954</v>
      </c>
      <c r="F105" s="119">
        <v>1351</v>
      </c>
      <c r="G105" s="120"/>
      <c r="H105" s="120"/>
      <c r="I105" s="119">
        <f t="shared" si="28"/>
        <v>765.41028475984797</v>
      </c>
      <c r="J105" s="120"/>
      <c r="K105" s="119"/>
      <c r="L105" s="119"/>
      <c r="M105" s="119"/>
      <c r="N105" s="119"/>
      <c r="O105" s="119">
        <f t="shared" si="27"/>
        <v>79.917691463567508</v>
      </c>
      <c r="P105" s="119"/>
      <c r="Q105" s="120"/>
      <c r="R105" s="120"/>
    </row>
    <row r="106" spans="1:18" x14ac:dyDescent="0.2">
      <c r="B106" s="123">
        <v>48822</v>
      </c>
      <c r="C106" s="119">
        <f t="shared" si="19"/>
        <v>235711.24890235849</v>
      </c>
      <c r="D106" s="119">
        <v>0</v>
      </c>
      <c r="E106" s="119">
        <v>0</v>
      </c>
      <c r="F106" s="119">
        <v>0</v>
      </c>
      <c r="G106" s="119"/>
      <c r="H106" s="119"/>
      <c r="I106" s="119"/>
      <c r="J106" s="120"/>
      <c r="K106" s="119"/>
      <c r="L106" s="119"/>
      <c r="M106" s="119"/>
      <c r="N106" s="119"/>
      <c r="O106" s="119">
        <f>D106-G106</f>
        <v>0</v>
      </c>
      <c r="P106" s="119"/>
      <c r="Q106" s="120"/>
      <c r="R106" s="120"/>
    </row>
    <row r="107" spans="1:18" x14ac:dyDescent="0.2">
      <c r="B107" s="123">
        <v>48823</v>
      </c>
      <c r="C107" s="119">
        <f>C106-G106</f>
        <v>235711.24890235849</v>
      </c>
      <c r="D107" s="119">
        <f t="shared" ref="D107:D118" si="29">(C107*S$2)/12</f>
        <v>683.56262181683951</v>
      </c>
      <c r="E107" s="119">
        <f t="shared" si="21"/>
        <v>667.43737818316049</v>
      </c>
      <c r="F107" s="119">
        <v>1351</v>
      </c>
      <c r="G107" s="120"/>
      <c r="H107" s="120"/>
      <c r="I107" s="119">
        <f t="shared" ref="I107" si="30">I105</f>
        <v>765.41028475984797</v>
      </c>
      <c r="J107" s="120"/>
      <c r="K107" s="119"/>
      <c r="L107" s="119"/>
      <c r="M107" s="119"/>
      <c r="N107" s="119"/>
      <c r="O107" s="119">
        <f t="shared" ref="O107:O118" si="31">I107-D107</f>
        <v>81.847662943008459</v>
      </c>
      <c r="P107" s="119"/>
      <c r="Q107" s="120"/>
      <c r="R107" s="120"/>
    </row>
    <row r="108" spans="1:18" x14ac:dyDescent="0.2">
      <c r="B108" s="123">
        <v>48853</v>
      </c>
      <c r="C108" s="119">
        <f t="shared" si="19"/>
        <v>235043.81152417534</v>
      </c>
      <c r="D108" s="119">
        <f t="shared" si="29"/>
        <v>681.62705342010838</v>
      </c>
      <c r="E108" s="119">
        <f t="shared" si="21"/>
        <v>669.37294657989162</v>
      </c>
      <c r="F108" s="119">
        <v>1351</v>
      </c>
      <c r="G108" s="120"/>
      <c r="H108" s="120"/>
      <c r="I108" s="119">
        <f>I107</f>
        <v>765.41028475984797</v>
      </c>
      <c r="J108" s="120"/>
      <c r="K108" s="119"/>
      <c r="L108" s="119"/>
      <c r="M108" s="119"/>
      <c r="N108" s="119"/>
      <c r="O108" s="119">
        <f t="shared" si="31"/>
        <v>83.783231339739586</v>
      </c>
      <c r="P108" s="119"/>
      <c r="Q108" s="120"/>
      <c r="R108" s="120"/>
    </row>
    <row r="109" spans="1:18" x14ac:dyDescent="0.2">
      <c r="B109" s="123">
        <v>48884</v>
      </c>
      <c r="C109" s="119">
        <f t="shared" si="19"/>
        <v>234374.43857759546</v>
      </c>
      <c r="D109" s="119">
        <f t="shared" si="29"/>
        <v>679.68587187502681</v>
      </c>
      <c r="E109" s="119">
        <f t="shared" si="21"/>
        <v>671.31412812497319</v>
      </c>
      <c r="F109" s="119">
        <v>1351</v>
      </c>
      <c r="G109" s="120"/>
      <c r="H109" s="120"/>
      <c r="I109" s="119">
        <f>I107</f>
        <v>765.41028475984797</v>
      </c>
      <c r="J109" s="120"/>
      <c r="K109" s="119"/>
      <c r="L109" s="119"/>
      <c r="M109" s="119"/>
      <c r="N109" s="119"/>
      <c r="O109" s="119">
        <f t="shared" si="31"/>
        <v>85.724412884821163</v>
      </c>
      <c r="P109" s="119"/>
      <c r="Q109" s="120"/>
      <c r="R109" s="120"/>
    </row>
    <row r="110" spans="1:18" s="3" customFormat="1" x14ac:dyDescent="0.2">
      <c r="A110" s="3">
        <v>8</v>
      </c>
      <c r="B110" s="121">
        <v>48914</v>
      </c>
      <c r="C110" s="118">
        <f t="shared" si="19"/>
        <v>233703.12444947049</v>
      </c>
      <c r="D110" s="118">
        <f t="shared" si="29"/>
        <v>677.73906090346441</v>
      </c>
      <c r="E110" s="118">
        <f t="shared" si="21"/>
        <v>673.26093909653559</v>
      </c>
      <c r="F110" s="118">
        <v>1351</v>
      </c>
      <c r="G110" s="117"/>
      <c r="H110" s="117"/>
      <c r="I110" s="118">
        <f>I109*$A$31</f>
        <v>776.89143903124557</v>
      </c>
      <c r="J110" s="118">
        <f>(I110/$J$2)/0.66</f>
        <v>14.713853011955408</v>
      </c>
      <c r="K110" s="118">
        <f>SUM(E98:E110)+G106</f>
        <v>7951.8721983406595</v>
      </c>
      <c r="L110" s="118">
        <f>SUM(I98:I110)-SUM(D98:D110)</f>
        <v>936.27676973023335</v>
      </c>
      <c r="M110" s="118">
        <v>230</v>
      </c>
      <c r="N110" s="118">
        <v>2500</v>
      </c>
      <c r="O110" s="118">
        <f t="shared" si="31"/>
        <v>99.152378127781162</v>
      </c>
      <c r="P110" s="118">
        <f>SUM(O98:O110)+M110+N110</f>
        <v>3666.2767697302324</v>
      </c>
      <c r="Q110" s="118">
        <f>L110+M110+N110</f>
        <v>3666.2767697302334</v>
      </c>
      <c r="R110" s="122">
        <f>Q110/K110</f>
        <v>0.46105831158796617</v>
      </c>
    </row>
    <row r="111" spans="1:18" x14ac:dyDescent="0.2">
      <c r="B111" s="123">
        <v>48945</v>
      </c>
      <c r="C111" s="119">
        <f t="shared" si="19"/>
        <v>233029.86351037395</v>
      </c>
      <c r="D111" s="119">
        <f t="shared" si="29"/>
        <v>675.7866041800844</v>
      </c>
      <c r="E111" s="119">
        <f t="shared" si="21"/>
        <v>675.2133958199156</v>
      </c>
      <c r="F111" s="119">
        <v>1351</v>
      </c>
      <c r="G111" s="120"/>
      <c r="H111" s="120"/>
      <c r="I111" s="119">
        <f t="shared" ref="I111:I118" si="32">I110</f>
        <v>776.89143903124557</v>
      </c>
      <c r="J111" s="120"/>
      <c r="K111" s="119"/>
      <c r="L111" s="119"/>
      <c r="M111" s="119"/>
      <c r="N111" s="119"/>
      <c r="O111" s="119">
        <f t="shared" si="31"/>
        <v>101.10483485116117</v>
      </c>
      <c r="P111" s="119"/>
      <c r="Q111" s="120"/>
      <c r="R111" s="120"/>
    </row>
    <row r="112" spans="1:18" x14ac:dyDescent="0.2">
      <c r="B112" s="123">
        <v>48976</v>
      </c>
      <c r="C112" s="119">
        <f t="shared" si="19"/>
        <v>232354.65011455404</v>
      </c>
      <c r="D112" s="119">
        <f t="shared" si="29"/>
        <v>673.8284853322067</v>
      </c>
      <c r="E112" s="119">
        <f t="shared" si="21"/>
        <v>677.1715146677933</v>
      </c>
      <c r="F112" s="119">
        <v>1351</v>
      </c>
      <c r="G112" s="120"/>
      <c r="H112" s="120"/>
      <c r="I112" s="119">
        <f t="shared" si="32"/>
        <v>776.89143903124557</v>
      </c>
      <c r="J112" s="120"/>
      <c r="K112" s="119"/>
      <c r="L112" s="119"/>
      <c r="M112" s="119"/>
      <c r="N112" s="119"/>
      <c r="O112" s="119">
        <f t="shared" si="31"/>
        <v>103.06295369903887</v>
      </c>
      <c r="P112" s="119"/>
      <c r="Q112" s="120"/>
      <c r="R112" s="120"/>
    </row>
    <row r="113" spans="1:18" x14ac:dyDescent="0.2">
      <c r="B113" s="123">
        <v>49004</v>
      </c>
      <c r="C113" s="119">
        <f t="shared" si="19"/>
        <v>231677.47859988624</v>
      </c>
      <c r="D113" s="119">
        <f t="shared" si="29"/>
        <v>671.86468793967003</v>
      </c>
      <c r="E113" s="119">
        <f t="shared" si="21"/>
        <v>679.13531206032997</v>
      </c>
      <c r="F113" s="119">
        <v>1351</v>
      </c>
      <c r="G113" s="120"/>
      <c r="H113" s="120"/>
      <c r="I113" s="119">
        <f t="shared" si="32"/>
        <v>776.89143903124557</v>
      </c>
      <c r="J113" s="120"/>
      <c r="K113" s="119"/>
      <c r="L113" s="119"/>
      <c r="M113" s="119"/>
      <c r="N113" s="119"/>
      <c r="O113" s="119">
        <f t="shared" si="31"/>
        <v>105.02675109157553</v>
      </c>
      <c r="P113" s="119"/>
      <c r="Q113" s="120"/>
      <c r="R113" s="120"/>
    </row>
    <row r="114" spans="1:18" x14ac:dyDescent="0.2">
      <c r="B114" s="123">
        <v>49035</v>
      </c>
      <c r="C114" s="119">
        <f t="shared" si="19"/>
        <v>230998.3432878259</v>
      </c>
      <c r="D114" s="119">
        <f t="shared" si="29"/>
        <v>669.89519553469506</v>
      </c>
      <c r="E114" s="119">
        <f t="shared" si="21"/>
        <v>681.10480446530494</v>
      </c>
      <c r="F114" s="119">
        <v>1351</v>
      </c>
      <c r="G114" s="120"/>
      <c r="H114" s="120"/>
      <c r="I114" s="119">
        <f t="shared" si="32"/>
        <v>776.89143903124557</v>
      </c>
      <c r="J114" s="120"/>
      <c r="K114" s="119"/>
      <c r="L114" s="119"/>
      <c r="M114" s="119"/>
      <c r="N114" s="119"/>
      <c r="O114" s="119">
        <f t="shared" si="31"/>
        <v>106.99624349655051</v>
      </c>
      <c r="P114" s="119"/>
      <c r="Q114" s="120"/>
      <c r="R114" s="120"/>
    </row>
    <row r="115" spans="1:18" x14ac:dyDescent="0.2">
      <c r="B115" s="123">
        <v>49065</v>
      </c>
      <c r="C115" s="119">
        <f t="shared" si="19"/>
        <v>230317.23848336059</v>
      </c>
      <c r="D115" s="119">
        <f t="shared" si="29"/>
        <v>667.91999160174566</v>
      </c>
      <c r="E115" s="119">
        <f t="shared" si="21"/>
        <v>683.08000839825434</v>
      </c>
      <c r="F115" s="119">
        <v>1351</v>
      </c>
      <c r="G115" s="120"/>
      <c r="H115" s="120"/>
      <c r="I115" s="119">
        <f t="shared" si="32"/>
        <v>776.89143903124557</v>
      </c>
      <c r="J115" s="120"/>
      <c r="K115" s="119"/>
      <c r="L115" s="119"/>
      <c r="M115" s="119"/>
      <c r="N115" s="119"/>
      <c r="O115" s="119">
        <f t="shared" si="31"/>
        <v>108.9714474294999</v>
      </c>
      <c r="P115" s="119"/>
      <c r="Q115" s="120"/>
      <c r="R115" s="120"/>
    </row>
    <row r="116" spans="1:18" x14ac:dyDescent="0.2">
      <c r="B116" s="123">
        <v>49096</v>
      </c>
      <c r="C116" s="119">
        <f t="shared" si="19"/>
        <v>229634.15847496234</v>
      </c>
      <c r="D116" s="119">
        <f t="shared" si="29"/>
        <v>665.93905957739082</v>
      </c>
      <c r="E116" s="119">
        <f t="shared" si="21"/>
        <v>685.06094042260918</v>
      </c>
      <c r="F116" s="119">
        <v>1351</v>
      </c>
      <c r="G116" s="120"/>
      <c r="H116" s="120"/>
      <c r="I116" s="119">
        <f t="shared" si="32"/>
        <v>776.89143903124557</v>
      </c>
      <c r="J116" s="120"/>
      <c r="K116" s="119"/>
      <c r="L116" s="119"/>
      <c r="M116" s="119"/>
      <c r="N116" s="119"/>
      <c r="O116" s="119">
        <f t="shared" si="31"/>
        <v>110.95237945385475</v>
      </c>
      <c r="P116" s="119"/>
      <c r="Q116" s="120"/>
      <c r="R116" s="120"/>
    </row>
    <row r="117" spans="1:18" x14ac:dyDescent="0.2">
      <c r="B117" s="123">
        <v>49126</v>
      </c>
      <c r="C117" s="119">
        <f t="shared" si="19"/>
        <v>228949.09753453973</v>
      </c>
      <c r="D117" s="119">
        <f t="shared" si="29"/>
        <v>663.95238285016524</v>
      </c>
      <c r="E117" s="119">
        <f t="shared" si="21"/>
        <v>687.04761714983476</v>
      </c>
      <c r="F117" s="119">
        <v>1351</v>
      </c>
      <c r="G117" s="120"/>
      <c r="H117" s="120"/>
      <c r="I117" s="119">
        <f t="shared" si="32"/>
        <v>776.89143903124557</v>
      </c>
      <c r="J117" s="120"/>
      <c r="K117" s="119"/>
      <c r="L117" s="119"/>
      <c r="M117" s="119"/>
      <c r="N117" s="119"/>
      <c r="O117" s="119">
        <f t="shared" si="31"/>
        <v>112.93905618108033</v>
      </c>
      <c r="P117" s="119"/>
      <c r="Q117" s="120"/>
      <c r="R117" s="120"/>
    </row>
    <row r="118" spans="1:18" x14ac:dyDescent="0.2">
      <c r="B118" s="123">
        <v>49157</v>
      </c>
      <c r="C118" s="119">
        <f t="shared" si="19"/>
        <v>228262.0499173899</v>
      </c>
      <c r="D118" s="119">
        <f t="shared" si="29"/>
        <v>661.95994476043063</v>
      </c>
      <c r="E118" s="119">
        <f t="shared" si="21"/>
        <v>689.04005523956937</v>
      </c>
      <c r="F118" s="119">
        <v>1351</v>
      </c>
      <c r="G118" s="120"/>
      <c r="H118" s="120"/>
      <c r="I118" s="119">
        <f t="shared" si="32"/>
        <v>776.89143903124557</v>
      </c>
      <c r="J118" s="120"/>
      <c r="K118" s="119"/>
      <c r="L118" s="119"/>
      <c r="M118" s="119"/>
      <c r="N118" s="119"/>
      <c r="O118" s="119">
        <f t="shared" si="31"/>
        <v>114.93149427081494</v>
      </c>
      <c r="P118" s="119"/>
      <c r="Q118" s="120"/>
      <c r="R118" s="120"/>
    </row>
    <row r="119" spans="1:18" x14ac:dyDescent="0.2">
      <c r="B119" s="123">
        <v>49187</v>
      </c>
      <c r="C119" s="119">
        <f>C118-E118</f>
        <v>227573.00986215033</v>
      </c>
      <c r="D119" s="119">
        <v>0</v>
      </c>
      <c r="E119" s="119">
        <v>0</v>
      </c>
      <c r="F119" s="119">
        <v>0</v>
      </c>
      <c r="G119" s="119"/>
      <c r="H119" s="119"/>
      <c r="I119" s="119"/>
      <c r="J119" s="120"/>
      <c r="K119" s="119"/>
      <c r="L119" s="119"/>
      <c r="M119" s="119"/>
      <c r="N119" s="119"/>
      <c r="O119" s="119">
        <f>D119-G119</f>
        <v>0</v>
      </c>
      <c r="P119" s="119"/>
      <c r="Q119" s="120"/>
      <c r="R119" s="120"/>
    </row>
    <row r="120" spans="1:18" x14ac:dyDescent="0.2">
      <c r="B120" s="123">
        <v>49188</v>
      </c>
      <c r="C120" s="119">
        <f>C119-G119</f>
        <v>227573.00986215033</v>
      </c>
      <c r="D120" s="119">
        <f t="shared" ref="D120:D131" si="33">(C120*S$2)/12</f>
        <v>659.96172860023592</v>
      </c>
      <c r="E120" s="119">
        <f t="shared" si="21"/>
        <v>691.03827139976408</v>
      </c>
      <c r="F120" s="119">
        <v>1351</v>
      </c>
      <c r="G120" s="120"/>
      <c r="H120" s="120"/>
      <c r="I120" s="119">
        <f t="shared" ref="I120" si="34">I118</f>
        <v>776.89143903124557</v>
      </c>
      <c r="J120" s="120"/>
      <c r="K120" s="119"/>
      <c r="L120" s="119"/>
      <c r="M120" s="119"/>
      <c r="N120" s="119"/>
      <c r="O120" s="119">
        <f t="shared" ref="O120:O131" si="35">I120-D120</f>
        <v>116.92971043100965</v>
      </c>
      <c r="P120" s="119"/>
      <c r="Q120" s="120"/>
      <c r="R120" s="120"/>
    </row>
    <row r="121" spans="1:18" x14ac:dyDescent="0.2">
      <c r="B121" s="123">
        <v>49218</v>
      </c>
      <c r="C121" s="119">
        <f t="shared" si="19"/>
        <v>226881.97159075056</v>
      </c>
      <c r="D121" s="119">
        <f t="shared" si="33"/>
        <v>657.95771761317656</v>
      </c>
      <c r="E121" s="119">
        <f t="shared" si="21"/>
        <v>693.04228238682344</v>
      </c>
      <c r="F121" s="119">
        <v>1351</v>
      </c>
      <c r="G121" s="120"/>
      <c r="H121" s="120"/>
      <c r="I121" s="119">
        <f>I120</f>
        <v>776.89143903124557</v>
      </c>
      <c r="J121" s="120"/>
      <c r="K121" s="119"/>
      <c r="L121" s="119"/>
      <c r="M121" s="119"/>
      <c r="N121" s="119"/>
      <c r="O121" s="119">
        <f t="shared" si="35"/>
        <v>118.93372141806901</v>
      </c>
      <c r="P121" s="119"/>
      <c r="Q121" s="120"/>
      <c r="R121" s="120"/>
    </row>
    <row r="122" spans="1:18" x14ac:dyDescent="0.2">
      <c r="B122" s="123">
        <v>49249</v>
      </c>
      <c r="C122" s="119">
        <f t="shared" si="19"/>
        <v>226188.92930836373</v>
      </c>
      <c r="D122" s="119">
        <f t="shared" si="33"/>
        <v>655.94789499425474</v>
      </c>
      <c r="E122" s="119">
        <f t="shared" si="21"/>
        <v>695.05210500574526</v>
      </c>
      <c r="F122" s="119">
        <v>1351</v>
      </c>
      <c r="G122" s="120"/>
      <c r="H122" s="120"/>
      <c r="I122" s="119">
        <f>I120</f>
        <v>776.89143903124557</v>
      </c>
      <c r="J122" s="120"/>
      <c r="K122" s="119"/>
      <c r="L122" s="119"/>
      <c r="M122" s="119"/>
      <c r="N122" s="119"/>
      <c r="O122" s="119">
        <f t="shared" si="35"/>
        <v>120.94354403699083</v>
      </c>
      <c r="P122" s="119"/>
      <c r="Q122" s="120"/>
      <c r="R122" s="120"/>
    </row>
    <row r="123" spans="1:18" s="3" customFormat="1" x14ac:dyDescent="0.2">
      <c r="A123" s="3">
        <v>9</v>
      </c>
      <c r="B123" s="121">
        <v>49279</v>
      </c>
      <c r="C123" s="118">
        <f t="shared" si="19"/>
        <v>225493.87720335799</v>
      </c>
      <c r="D123" s="118">
        <f t="shared" si="33"/>
        <v>653.93224388973806</v>
      </c>
      <c r="E123" s="118">
        <f t="shared" si="21"/>
        <v>697.06775611026194</v>
      </c>
      <c r="F123" s="118">
        <v>1351</v>
      </c>
      <c r="G123" s="117"/>
      <c r="H123" s="117"/>
      <c r="I123" s="118">
        <f>I122*$A$31</f>
        <v>788.54481061671413</v>
      </c>
      <c r="J123" s="118">
        <f>(I123/$J$2)/0.66</f>
        <v>14.934560807134735</v>
      </c>
      <c r="K123" s="118">
        <f>SUM(E111:E123)+G119</f>
        <v>8233.0540631262065</v>
      </c>
      <c r="L123" s="118">
        <f>SUM(I111:I123)-SUM(D111:D123)</f>
        <v>1355.4047030866222</v>
      </c>
      <c r="M123" s="118"/>
      <c r="N123" s="118">
        <v>2500</v>
      </c>
      <c r="O123" s="118">
        <f t="shared" si="35"/>
        <v>134.61256672697607</v>
      </c>
      <c r="P123" s="118">
        <f>SUM(O111:O123)+M123+N123</f>
        <v>3855.4047030866218</v>
      </c>
      <c r="Q123" s="118">
        <f>L123+M123+N123</f>
        <v>3855.4047030866222</v>
      </c>
      <c r="R123" s="122">
        <f>Q123/K123</f>
        <v>0.46828366163098784</v>
      </c>
    </row>
    <row r="124" spans="1:18" x14ac:dyDescent="0.2">
      <c r="B124" s="123">
        <v>49310</v>
      </c>
      <c r="C124" s="119">
        <f t="shared" si="19"/>
        <v>224796.80944724774</v>
      </c>
      <c r="D124" s="119">
        <f t="shared" si="33"/>
        <v>651.91074739701833</v>
      </c>
      <c r="E124" s="119">
        <f t="shared" si="21"/>
        <v>699.08925260298167</v>
      </c>
      <c r="F124" s="119">
        <v>1351</v>
      </c>
      <c r="G124" s="120"/>
      <c r="H124" s="120"/>
      <c r="I124" s="119">
        <f t="shared" ref="I124:I131" si="36">I123</f>
        <v>788.54481061671413</v>
      </c>
      <c r="J124" s="120"/>
      <c r="K124" s="119"/>
      <c r="L124" s="119"/>
      <c r="M124" s="119"/>
      <c r="N124" s="119"/>
      <c r="O124" s="119">
        <f t="shared" si="35"/>
        <v>136.6340632196958</v>
      </c>
      <c r="P124" s="119"/>
      <c r="Q124" s="120"/>
      <c r="R124" s="120"/>
    </row>
    <row r="125" spans="1:18" x14ac:dyDescent="0.2">
      <c r="B125" s="123">
        <v>49341</v>
      </c>
      <c r="C125" s="119">
        <f t="shared" si="19"/>
        <v>224097.72019464476</v>
      </c>
      <c r="D125" s="119">
        <f t="shared" si="33"/>
        <v>649.88338856446978</v>
      </c>
      <c r="E125" s="119">
        <f t="shared" si="21"/>
        <v>701.11661143553022</v>
      </c>
      <c r="F125" s="119">
        <v>1351</v>
      </c>
      <c r="G125" s="120"/>
      <c r="H125" s="120"/>
      <c r="I125" s="119">
        <f t="shared" si="36"/>
        <v>788.54481061671413</v>
      </c>
      <c r="J125" s="120"/>
      <c r="K125" s="119"/>
      <c r="L125" s="119"/>
      <c r="M125" s="119"/>
      <c r="N125" s="119"/>
      <c r="O125" s="119">
        <f t="shared" si="35"/>
        <v>138.66142205224435</v>
      </c>
      <c r="P125" s="119"/>
      <c r="Q125" s="120"/>
      <c r="R125" s="120"/>
    </row>
    <row r="126" spans="1:18" x14ac:dyDescent="0.2">
      <c r="B126" s="123">
        <v>49369</v>
      </c>
      <c r="C126" s="119">
        <f t="shared" si="19"/>
        <v>223396.60358320922</v>
      </c>
      <c r="D126" s="119">
        <f t="shared" si="33"/>
        <v>647.85015039130667</v>
      </c>
      <c r="E126" s="119">
        <f t="shared" si="21"/>
        <v>703.14984960869333</v>
      </c>
      <c r="F126" s="119">
        <v>1351</v>
      </c>
      <c r="G126" s="120"/>
      <c r="H126" s="120"/>
      <c r="I126" s="119">
        <f t="shared" si="36"/>
        <v>788.54481061671413</v>
      </c>
      <c r="J126" s="120"/>
      <c r="K126" s="119"/>
      <c r="L126" s="119"/>
      <c r="M126" s="119"/>
      <c r="N126" s="119"/>
      <c r="O126" s="119">
        <f t="shared" si="35"/>
        <v>140.69466022540746</v>
      </c>
      <c r="P126" s="119"/>
      <c r="Q126" s="120"/>
      <c r="R126" s="120"/>
    </row>
    <row r="127" spans="1:18" x14ac:dyDescent="0.2">
      <c r="B127" s="123">
        <v>49400</v>
      </c>
      <c r="C127" s="119">
        <f t="shared" si="19"/>
        <v>222693.45373360053</v>
      </c>
      <c r="D127" s="119">
        <f t="shared" si="33"/>
        <v>645.81101582744157</v>
      </c>
      <c r="E127" s="119">
        <f t="shared" si="21"/>
        <v>705.18898417255843</v>
      </c>
      <c r="F127" s="119">
        <v>1351</v>
      </c>
      <c r="G127" s="120"/>
      <c r="H127" s="120"/>
      <c r="I127" s="119">
        <f t="shared" si="36"/>
        <v>788.54481061671413</v>
      </c>
      <c r="J127" s="120"/>
      <c r="K127" s="119"/>
      <c r="L127" s="119"/>
      <c r="M127" s="119"/>
      <c r="N127" s="119"/>
      <c r="O127" s="119">
        <f t="shared" si="35"/>
        <v>142.73379478927257</v>
      </c>
      <c r="P127" s="119"/>
      <c r="Q127" s="120"/>
      <c r="R127" s="120"/>
    </row>
    <row r="128" spans="1:18" x14ac:dyDescent="0.2">
      <c r="B128" s="123">
        <v>49430</v>
      </c>
      <c r="C128" s="119">
        <f t="shared" si="19"/>
        <v>221988.26474942797</v>
      </c>
      <c r="D128" s="119">
        <f t="shared" si="33"/>
        <v>643.765967773341</v>
      </c>
      <c r="E128" s="119">
        <f t="shared" si="21"/>
        <v>707.234032226659</v>
      </c>
      <c r="F128" s="119">
        <v>1351</v>
      </c>
      <c r="G128" s="120"/>
      <c r="H128" s="120"/>
      <c r="I128" s="119">
        <f t="shared" si="36"/>
        <v>788.54481061671413</v>
      </c>
      <c r="J128" s="120"/>
      <c r="K128" s="119"/>
      <c r="L128" s="119"/>
      <c r="M128" s="119"/>
      <c r="N128" s="119"/>
      <c r="O128" s="119">
        <f t="shared" si="35"/>
        <v>144.77884284337313</v>
      </c>
      <c r="P128" s="119"/>
      <c r="Q128" s="120"/>
      <c r="R128" s="120"/>
    </row>
    <row r="129" spans="1:18" x14ac:dyDescent="0.2">
      <c r="B129" s="123">
        <v>49461</v>
      </c>
      <c r="C129" s="119">
        <f t="shared" si="19"/>
        <v>221281.0307172013</v>
      </c>
      <c r="D129" s="119">
        <f t="shared" si="33"/>
        <v>641.71498907988371</v>
      </c>
      <c r="E129" s="119">
        <f t="shared" si="21"/>
        <v>709.28501092011629</v>
      </c>
      <c r="F129" s="119">
        <v>1351</v>
      </c>
      <c r="G129" s="120"/>
      <c r="H129" s="120"/>
      <c r="I129" s="119">
        <f t="shared" si="36"/>
        <v>788.54481061671413</v>
      </c>
      <c r="J129" s="120"/>
      <c r="K129" s="119"/>
      <c r="L129" s="119"/>
      <c r="M129" s="119"/>
      <c r="N129" s="119"/>
      <c r="O129" s="119">
        <f t="shared" si="35"/>
        <v>146.82982153683042</v>
      </c>
      <c r="P129" s="119"/>
      <c r="Q129" s="120"/>
      <c r="R129" s="120"/>
    </row>
    <row r="130" spans="1:18" x14ac:dyDescent="0.2">
      <c r="B130" s="123">
        <v>49491</v>
      </c>
      <c r="C130" s="119">
        <f t="shared" si="19"/>
        <v>220571.74570628119</v>
      </c>
      <c r="D130" s="119">
        <f t="shared" si="33"/>
        <v>639.65806254821541</v>
      </c>
      <c r="E130" s="119">
        <f t="shared" si="21"/>
        <v>711.34193745178459</v>
      </c>
      <c r="F130" s="119">
        <v>1351</v>
      </c>
      <c r="G130" s="120"/>
      <c r="H130" s="120"/>
      <c r="I130" s="119">
        <f t="shared" si="36"/>
        <v>788.54481061671413</v>
      </c>
      <c r="J130" s="120"/>
      <c r="K130" s="119"/>
      <c r="L130" s="119"/>
      <c r="M130" s="119"/>
      <c r="N130" s="119"/>
      <c r="O130" s="119">
        <f t="shared" si="35"/>
        <v>148.88674806849872</v>
      </c>
      <c r="P130" s="119"/>
      <c r="Q130" s="120"/>
      <c r="R130" s="120"/>
    </row>
    <row r="131" spans="1:18" x14ac:dyDescent="0.2">
      <c r="B131" s="123">
        <v>49522</v>
      </c>
      <c r="C131" s="119">
        <f t="shared" si="19"/>
        <v>219860.40376882939</v>
      </c>
      <c r="D131" s="119">
        <f t="shared" si="33"/>
        <v>637.59517092960516</v>
      </c>
      <c r="E131" s="119">
        <f t="shared" si="21"/>
        <v>713.40482907039484</v>
      </c>
      <c r="F131" s="119">
        <v>1351</v>
      </c>
      <c r="G131" s="120"/>
      <c r="H131" s="120"/>
      <c r="I131" s="119">
        <f t="shared" si="36"/>
        <v>788.54481061671413</v>
      </c>
      <c r="J131" s="120"/>
      <c r="K131" s="119"/>
      <c r="L131" s="119"/>
      <c r="M131" s="119"/>
      <c r="N131" s="119"/>
      <c r="O131" s="119">
        <f t="shared" si="35"/>
        <v>150.94963968710897</v>
      </c>
      <c r="P131" s="119"/>
      <c r="Q131" s="120"/>
      <c r="R131" s="120"/>
    </row>
    <row r="132" spans="1:18" x14ac:dyDescent="0.2">
      <c r="B132" s="123">
        <v>49552</v>
      </c>
      <c r="C132" s="119">
        <f>C131-E131</f>
        <v>219146.99893975898</v>
      </c>
      <c r="D132" s="119">
        <v>0</v>
      </c>
      <c r="E132" s="119">
        <v>0</v>
      </c>
      <c r="F132" s="119">
        <v>0</v>
      </c>
      <c r="G132" s="119"/>
      <c r="H132" s="119"/>
      <c r="I132" s="119"/>
      <c r="J132" s="120"/>
      <c r="K132" s="119"/>
      <c r="L132" s="119"/>
      <c r="M132" s="119"/>
      <c r="N132" s="119"/>
      <c r="O132" s="119">
        <f>D132-G132</f>
        <v>0</v>
      </c>
      <c r="P132" s="119"/>
      <c r="Q132" s="120"/>
      <c r="R132" s="120"/>
    </row>
    <row r="133" spans="1:18" x14ac:dyDescent="0.2">
      <c r="B133" s="123">
        <v>49553</v>
      </c>
      <c r="C133" s="119">
        <f>C132-G132</f>
        <v>219146.99893975898</v>
      </c>
      <c r="D133" s="119">
        <f t="shared" ref="D133:D144" si="37">(C133*S$2)/12</f>
        <v>635.52629692530104</v>
      </c>
      <c r="E133" s="119">
        <f t="shared" si="21"/>
        <v>715.47370307469896</v>
      </c>
      <c r="F133" s="119">
        <v>1351</v>
      </c>
      <c r="G133" s="120"/>
      <c r="H133" s="120"/>
      <c r="I133" s="119">
        <f t="shared" ref="I133" si="38">I131</f>
        <v>788.54481061671413</v>
      </c>
      <c r="J133" s="120"/>
      <c r="K133" s="119"/>
      <c r="L133" s="119"/>
      <c r="M133" s="119"/>
      <c r="N133" s="119"/>
      <c r="O133" s="119">
        <f t="shared" ref="O133:O144" si="39">I133-D133</f>
        <v>153.01851369141309</v>
      </c>
      <c r="P133" s="119"/>
      <c r="Q133" s="120"/>
      <c r="R133" s="120"/>
    </row>
    <row r="134" spans="1:18" x14ac:dyDescent="0.2">
      <c r="B134" s="123">
        <v>49583</v>
      </c>
      <c r="C134" s="119">
        <f t="shared" si="19"/>
        <v>218431.52523668428</v>
      </c>
      <c r="D134" s="119">
        <f t="shared" si="37"/>
        <v>633.45142318638443</v>
      </c>
      <c r="E134" s="119">
        <f t="shared" si="21"/>
        <v>717.54857681361557</v>
      </c>
      <c r="F134" s="119">
        <v>1351</v>
      </c>
      <c r="G134" s="120"/>
      <c r="H134" s="120"/>
      <c r="I134" s="119">
        <f>I133</f>
        <v>788.54481061671413</v>
      </c>
      <c r="J134" s="120"/>
      <c r="K134" s="119"/>
      <c r="L134" s="119"/>
      <c r="M134" s="119"/>
      <c r="N134" s="119"/>
      <c r="O134" s="119">
        <f t="shared" si="39"/>
        <v>155.0933874303297</v>
      </c>
      <c r="P134" s="119"/>
      <c r="Q134" s="120"/>
      <c r="R134" s="120"/>
    </row>
    <row r="135" spans="1:18" x14ac:dyDescent="0.2">
      <c r="B135" s="123">
        <v>49614</v>
      </c>
      <c r="C135" s="119">
        <f t="shared" si="19"/>
        <v>217713.97665987065</v>
      </c>
      <c r="D135" s="119">
        <f t="shared" si="37"/>
        <v>631.37053231362484</v>
      </c>
      <c r="E135" s="119">
        <f t="shared" si="21"/>
        <v>719.62946768637516</v>
      </c>
      <c r="F135" s="119">
        <v>1351</v>
      </c>
      <c r="G135" s="120"/>
      <c r="H135" s="120"/>
      <c r="I135" s="119">
        <f>I133</f>
        <v>788.54481061671413</v>
      </c>
      <c r="J135" s="120"/>
      <c r="K135" s="119"/>
      <c r="L135" s="119"/>
      <c r="M135" s="119"/>
      <c r="N135" s="119"/>
      <c r="O135" s="119">
        <f t="shared" si="39"/>
        <v>157.1742783030893</v>
      </c>
      <c r="P135" s="119"/>
      <c r="Q135" s="120"/>
      <c r="R135" s="120"/>
    </row>
    <row r="136" spans="1:18" s="3" customFormat="1" x14ac:dyDescent="0.2">
      <c r="A136" s="3">
        <v>10</v>
      </c>
      <c r="B136" s="121">
        <v>49644</v>
      </c>
      <c r="C136" s="118">
        <f t="shared" si="19"/>
        <v>216994.34719218427</v>
      </c>
      <c r="D136" s="118">
        <f t="shared" si="37"/>
        <v>629.28360685733435</v>
      </c>
      <c r="E136" s="118">
        <f t="shared" si="21"/>
        <v>721.71639314266565</v>
      </c>
      <c r="F136" s="118">
        <v>1351</v>
      </c>
      <c r="G136" s="117"/>
      <c r="H136" s="117"/>
      <c r="I136" s="118">
        <f>I135*$A$31</f>
        <v>800.37298277596472</v>
      </c>
      <c r="J136" s="118">
        <f>(I136/$J$2)/0.66</f>
        <v>15.158579219241757</v>
      </c>
      <c r="K136" s="118">
        <f>SUM(E124:E136)+G132</f>
        <v>8524.1786482060743</v>
      </c>
      <c r="L136" s="118">
        <f>SUM(I124:I136)-SUM(D124:D136)</f>
        <v>1786.5445477658968</v>
      </c>
      <c r="M136" s="118"/>
      <c r="N136" s="118">
        <v>2500</v>
      </c>
      <c r="O136" s="118">
        <f t="shared" si="39"/>
        <v>171.08937591863037</v>
      </c>
      <c r="P136" s="118">
        <f>SUM(O124:O136)+M136+N136</f>
        <v>4286.5445477658941</v>
      </c>
      <c r="Q136" s="118">
        <f>L136+M136+N136</f>
        <v>4286.5445477658968</v>
      </c>
      <c r="R136" s="122">
        <f>Q136/K136</f>
        <v>0.50286892434709896</v>
      </c>
    </row>
    <row r="137" spans="1:18" x14ac:dyDescent="0.2">
      <c r="B137" s="123">
        <v>49675</v>
      </c>
      <c r="C137" s="119">
        <f t="shared" si="19"/>
        <v>216272.6307990416</v>
      </c>
      <c r="D137" s="119">
        <f t="shared" si="37"/>
        <v>627.19062931722056</v>
      </c>
      <c r="E137" s="119">
        <f t="shared" si="21"/>
        <v>723.80937068277944</v>
      </c>
      <c r="F137" s="119">
        <v>1351</v>
      </c>
      <c r="G137" s="120"/>
      <c r="H137" s="120"/>
      <c r="I137" s="119">
        <f t="shared" ref="I137:I144" si="40">I136</f>
        <v>800.37298277596472</v>
      </c>
      <c r="J137" s="120"/>
      <c r="K137" s="119"/>
      <c r="L137" s="119"/>
      <c r="M137" s="119"/>
      <c r="N137" s="119"/>
      <c r="O137" s="119">
        <f t="shared" si="39"/>
        <v>173.18235345874416</v>
      </c>
      <c r="P137" s="119"/>
      <c r="Q137" s="120"/>
      <c r="R137" s="120"/>
    </row>
    <row r="138" spans="1:18" x14ac:dyDescent="0.2">
      <c r="B138" s="123">
        <v>49706</v>
      </c>
      <c r="C138" s="119">
        <f t="shared" si="19"/>
        <v>215548.82142835882</v>
      </c>
      <c r="D138" s="119">
        <f t="shared" si="37"/>
        <v>625.09158214224055</v>
      </c>
      <c r="E138" s="119">
        <f t="shared" si="21"/>
        <v>725.90841785775945</v>
      </c>
      <c r="F138" s="119">
        <v>1351</v>
      </c>
      <c r="G138" s="120"/>
      <c r="H138" s="120"/>
      <c r="I138" s="119">
        <f t="shared" si="40"/>
        <v>800.37298277596472</v>
      </c>
      <c r="J138" s="120"/>
      <c r="K138" s="119"/>
      <c r="L138" s="119"/>
      <c r="M138" s="119"/>
      <c r="N138" s="119"/>
      <c r="O138" s="119">
        <f t="shared" si="39"/>
        <v>175.28140063372416</v>
      </c>
      <c r="P138" s="119"/>
      <c r="Q138" s="120"/>
      <c r="R138" s="120"/>
    </row>
    <row r="139" spans="1:18" x14ac:dyDescent="0.2">
      <c r="B139" s="123">
        <v>49735</v>
      </c>
      <c r="C139" s="119">
        <f t="shared" si="19"/>
        <v>214822.91301050107</v>
      </c>
      <c r="D139" s="119">
        <f t="shared" si="37"/>
        <v>622.98644773045305</v>
      </c>
      <c r="E139" s="119">
        <f t="shared" si="21"/>
        <v>728.01355226954695</v>
      </c>
      <c r="F139" s="119">
        <v>1351</v>
      </c>
      <c r="G139" s="120"/>
      <c r="H139" s="120"/>
      <c r="I139" s="119">
        <f t="shared" si="40"/>
        <v>800.37298277596472</v>
      </c>
      <c r="J139" s="120"/>
      <c r="K139" s="119"/>
      <c r="L139" s="119"/>
      <c r="M139" s="119"/>
      <c r="N139" s="119"/>
      <c r="O139" s="119">
        <f t="shared" si="39"/>
        <v>177.38653504551166</v>
      </c>
      <c r="P139" s="119"/>
      <c r="Q139" s="120"/>
      <c r="R139" s="120"/>
    </row>
    <row r="140" spans="1:18" x14ac:dyDescent="0.2">
      <c r="B140" s="123">
        <v>49766</v>
      </c>
      <c r="C140" s="119">
        <f t="shared" si="19"/>
        <v>214094.89945823152</v>
      </c>
      <c r="D140" s="119">
        <f t="shared" si="37"/>
        <v>620.87520842887136</v>
      </c>
      <c r="E140" s="119">
        <f t="shared" si="21"/>
        <v>730.12479157112864</v>
      </c>
      <c r="F140" s="119">
        <v>1351</v>
      </c>
      <c r="G140" s="120"/>
      <c r="H140" s="120"/>
      <c r="I140" s="119">
        <f t="shared" si="40"/>
        <v>800.37298277596472</v>
      </c>
      <c r="J140" s="120"/>
      <c r="K140" s="119"/>
      <c r="L140" s="119"/>
      <c r="M140" s="119"/>
      <c r="N140" s="119"/>
      <c r="O140" s="119">
        <f t="shared" si="39"/>
        <v>179.49777434709335</v>
      </c>
      <c r="P140" s="119"/>
      <c r="Q140" s="120"/>
      <c r="R140" s="120"/>
    </row>
    <row r="141" spans="1:18" x14ac:dyDescent="0.2">
      <c r="B141" s="123">
        <v>49796</v>
      </c>
      <c r="C141" s="119">
        <f t="shared" ref="C141:C157" si="41">C140-E140</f>
        <v>213364.77466666038</v>
      </c>
      <c r="D141" s="119">
        <f t="shared" si="37"/>
        <v>618.75784653331505</v>
      </c>
      <c r="E141" s="119">
        <f t="shared" si="21"/>
        <v>732.24215346668495</v>
      </c>
      <c r="F141" s="119">
        <v>1351</v>
      </c>
      <c r="G141" s="120"/>
      <c r="H141" s="120"/>
      <c r="I141" s="119">
        <f t="shared" si="40"/>
        <v>800.37298277596472</v>
      </c>
      <c r="J141" s="120"/>
      <c r="K141" s="119"/>
      <c r="L141" s="119"/>
      <c r="M141" s="119"/>
      <c r="N141" s="119"/>
      <c r="O141" s="119">
        <f t="shared" si="39"/>
        <v>181.61513624264967</v>
      </c>
      <c r="P141" s="119"/>
      <c r="Q141" s="120"/>
      <c r="R141" s="120"/>
    </row>
    <row r="142" spans="1:18" x14ac:dyDescent="0.2">
      <c r="B142" s="123">
        <v>49827</v>
      </c>
      <c r="C142" s="119">
        <f t="shared" si="41"/>
        <v>212632.5325131937</v>
      </c>
      <c r="D142" s="119">
        <f t="shared" si="37"/>
        <v>616.63434428826167</v>
      </c>
      <c r="E142" s="119">
        <f t="shared" si="21"/>
        <v>734.36565571173833</v>
      </c>
      <c r="F142" s="119">
        <v>1351</v>
      </c>
      <c r="G142" s="120"/>
      <c r="H142" s="120"/>
      <c r="I142" s="119">
        <f t="shared" si="40"/>
        <v>800.37298277596472</v>
      </c>
      <c r="J142" s="120"/>
      <c r="K142" s="119"/>
      <c r="L142" s="119"/>
      <c r="M142" s="119"/>
      <c r="N142" s="119"/>
      <c r="O142" s="119">
        <f t="shared" si="39"/>
        <v>183.73863848770304</v>
      </c>
      <c r="P142" s="119"/>
      <c r="Q142" s="120"/>
      <c r="R142" s="120"/>
    </row>
    <row r="143" spans="1:18" x14ac:dyDescent="0.2">
      <c r="B143" s="123">
        <v>49857</v>
      </c>
      <c r="C143" s="119">
        <f t="shared" si="41"/>
        <v>211898.16685748196</v>
      </c>
      <c r="D143" s="119">
        <f t="shared" si="37"/>
        <v>614.50468388669765</v>
      </c>
      <c r="E143" s="119">
        <f t="shared" si="21"/>
        <v>736.49531611330235</v>
      </c>
      <c r="F143" s="119">
        <v>1351</v>
      </c>
      <c r="G143" s="120"/>
      <c r="H143" s="120"/>
      <c r="I143" s="119">
        <f t="shared" si="40"/>
        <v>800.37298277596472</v>
      </c>
      <c r="J143" s="120"/>
      <c r="K143" s="119"/>
      <c r="L143" s="119"/>
      <c r="M143" s="119"/>
      <c r="N143" s="119"/>
      <c r="O143" s="119">
        <f t="shared" si="39"/>
        <v>185.86829888926707</v>
      </c>
      <c r="P143" s="119"/>
      <c r="Q143" s="120"/>
      <c r="R143" s="120"/>
    </row>
    <row r="144" spans="1:18" x14ac:dyDescent="0.2">
      <c r="B144" s="123">
        <v>49888</v>
      </c>
      <c r="C144" s="119">
        <f t="shared" si="41"/>
        <v>211161.67154136865</v>
      </c>
      <c r="D144" s="119">
        <f t="shared" si="37"/>
        <v>612.36884746996907</v>
      </c>
      <c r="E144" s="119">
        <f t="shared" si="21"/>
        <v>738.63115253003093</v>
      </c>
      <c r="F144" s="119">
        <v>1351</v>
      </c>
      <c r="G144" s="120"/>
      <c r="H144" s="120"/>
      <c r="I144" s="119">
        <f t="shared" si="40"/>
        <v>800.37298277596472</v>
      </c>
      <c r="J144" s="120"/>
      <c r="K144" s="119"/>
      <c r="L144" s="119"/>
      <c r="M144" s="119"/>
      <c r="N144" s="119"/>
      <c r="O144" s="119">
        <f t="shared" si="39"/>
        <v>188.00413530599565</v>
      </c>
      <c r="P144" s="119"/>
      <c r="Q144" s="120"/>
      <c r="R144" s="120"/>
    </row>
    <row r="145" spans="1:18" x14ac:dyDescent="0.2">
      <c r="B145" s="123">
        <v>49918</v>
      </c>
      <c r="C145" s="119">
        <f>C144-E144</f>
        <v>210423.04038883862</v>
      </c>
      <c r="D145" s="119">
        <v>0</v>
      </c>
      <c r="E145" s="119">
        <v>0</v>
      </c>
      <c r="F145" s="119">
        <v>0</v>
      </c>
      <c r="G145" s="119"/>
      <c r="H145" s="119"/>
      <c r="I145" s="119"/>
      <c r="J145" s="120"/>
      <c r="K145" s="119"/>
      <c r="L145" s="119"/>
      <c r="M145" s="119"/>
      <c r="N145" s="119"/>
      <c r="O145" s="119">
        <f>D145-G145</f>
        <v>0</v>
      </c>
      <c r="P145" s="119"/>
      <c r="Q145" s="120"/>
      <c r="R145" s="120"/>
    </row>
    <row r="146" spans="1:18" x14ac:dyDescent="0.2">
      <c r="B146" s="123">
        <v>49919</v>
      </c>
      <c r="C146" s="119">
        <f>C145-G145</f>
        <v>210423.04038883862</v>
      </c>
      <c r="D146" s="119">
        <f t="shared" ref="D146:D157" si="42">(C146*S$2)/12</f>
        <v>610.22681712763199</v>
      </c>
      <c r="E146" s="119">
        <f t="shared" si="21"/>
        <v>740.77318287236801</v>
      </c>
      <c r="F146" s="119">
        <v>1351</v>
      </c>
      <c r="G146" s="120"/>
      <c r="H146" s="120"/>
      <c r="I146" s="119">
        <f t="shared" ref="I146" si="43">I144</f>
        <v>800.37298277596472</v>
      </c>
      <c r="J146" s="120"/>
      <c r="K146" s="119"/>
      <c r="L146" s="119"/>
      <c r="M146" s="119"/>
      <c r="N146" s="119"/>
      <c r="O146" s="119">
        <f t="shared" ref="O146:O157" si="44">I146-D146</f>
        <v>190.14616564833273</v>
      </c>
      <c r="P146" s="119"/>
      <c r="Q146" s="120"/>
      <c r="R146" s="120"/>
    </row>
    <row r="147" spans="1:18" x14ac:dyDescent="0.2">
      <c r="B147" s="123">
        <v>49949</v>
      </c>
      <c r="C147" s="119">
        <f t="shared" si="41"/>
        <v>209682.26720596626</v>
      </c>
      <c r="D147" s="119">
        <f t="shared" si="42"/>
        <v>608.07857489730213</v>
      </c>
      <c r="E147" s="119">
        <f t="shared" si="21"/>
        <v>742.92142510269787</v>
      </c>
      <c r="F147" s="119">
        <v>1351</v>
      </c>
      <c r="G147" s="120"/>
      <c r="H147" s="120"/>
      <c r="I147" s="119">
        <f>I146</f>
        <v>800.37298277596472</v>
      </c>
      <c r="J147" s="120"/>
      <c r="K147" s="119"/>
      <c r="L147" s="119"/>
      <c r="M147" s="119"/>
      <c r="N147" s="119"/>
      <c r="O147" s="119">
        <f t="shared" si="44"/>
        <v>192.29440787866258</v>
      </c>
      <c r="P147" s="119"/>
      <c r="Q147" s="120"/>
      <c r="R147" s="120"/>
    </row>
    <row r="148" spans="1:18" x14ac:dyDescent="0.2">
      <c r="B148" s="123">
        <v>49980</v>
      </c>
      <c r="C148" s="119">
        <f t="shared" si="41"/>
        <v>208939.34578086357</v>
      </c>
      <c r="D148" s="119">
        <f t="shared" si="42"/>
        <v>605.92410276450425</v>
      </c>
      <c r="E148" s="119">
        <f t="shared" si="21"/>
        <v>745.07589723549575</v>
      </c>
      <c r="F148" s="119">
        <v>1351</v>
      </c>
      <c r="G148" s="120"/>
      <c r="H148" s="120"/>
      <c r="I148" s="119">
        <f>I146</f>
        <v>800.37298277596472</v>
      </c>
      <c r="J148" s="120"/>
      <c r="K148" s="119"/>
      <c r="L148" s="119"/>
      <c r="M148" s="119"/>
      <c r="N148" s="119"/>
      <c r="O148" s="119">
        <f t="shared" si="44"/>
        <v>194.44888001146046</v>
      </c>
      <c r="P148" s="119"/>
      <c r="Q148" s="120"/>
      <c r="R148" s="120"/>
    </row>
    <row r="149" spans="1:18" s="3" customFormat="1" x14ac:dyDescent="0.2">
      <c r="A149" s="3">
        <v>11</v>
      </c>
      <c r="B149" s="121">
        <v>50010</v>
      </c>
      <c r="C149" s="118">
        <f t="shared" si="41"/>
        <v>208194.26988362809</v>
      </c>
      <c r="D149" s="118">
        <f t="shared" si="42"/>
        <v>603.76338266252139</v>
      </c>
      <c r="E149" s="118">
        <f t="shared" si="21"/>
        <v>747.23661733747861</v>
      </c>
      <c r="F149" s="118">
        <v>1351</v>
      </c>
      <c r="G149" s="117"/>
      <c r="H149" s="117"/>
      <c r="I149" s="118">
        <f>I148*$A$31</f>
        <v>812.37857751760407</v>
      </c>
      <c r="J149" s="118">
        <f>(I149/$J$2)/0.66</f>
        <v>15.385957907530379</v>
      </c>
      <c r="K149" s="118">
        <f>SUM(E137:E149)+G145</f>
        <v>8825.5975327510114</v>
      </c>
      <c r="L149" s="118">
        <f>SUM(I137:I149)-SUM(D137:D149)</f>
        <v>2230.0789208042261</v>
      </c>
      <c r="M149" s="118"/>
      <c r="N149" s="118">
        <v>2500</v>
      </c>
      <c r="O149" s="118">
        <f t="shared" si="44"/>
        <v>208.61519485508268</v>
      </c>
      <c r="P149" s="118">
        <f>SUM(O137:O149)+M149+N149</f>
        <v>4730.078920804227</v>
      </c>
      <c r="Q149" s="118">
        <f>L149+M149+N149</f>
        <v>4730.0789208042261</v>
      </c>
      <c r="R149" s="122">
        <f>Q149/K149</f>
        <v>0.53594999128969134</v>
      </c>
    </row>
    <row r="150" spans="1:18" x14ac:dyDescent="0.2">
      <c r="B150" s="123">
        <v>50041</v>
      </c>
      <c r="C150" s="119">
        <f t="shared" si="41"/>
        <v>207447.03326629061</v>
      </c>
      <c r="D150" s="119">
        <f t="shared" si="42"/>
        <v>601.59639647224276</v>
      </c>
      <c r="E150" s="119">
        <f t="shared" ref="E150:E210" si="45">F150-D150</f>
        <v>749.40360352775724</v>
      </c>
      <c r="F150" s="119">
        <v>1351</v>
      </c>
      <c r="G150" s="120"/>
      <c r="H150" s="120"/>
      <c r="I150" s="119">
        <f t="shared" ref="I150:I157" si="46">I149</f>
        <v>812.37857751760407</v>
      </c>
      <c r="J150" s="120"/>
      <c r="K150" s="119"/>
      <c r="L150" s="119"/>
      <c r="M150" s="119"/>
      <c r="N150" s="119"/>
      <c r="O150" s="119">
        <f t="shared" si="44"/>
        <v>210.78218104536131</v>
      </c>
      <c r="P150" s="119"/>
      <c r="Q150" s="120"/>
      <c r="R150" s="120"/>
    </row>
    <row r="151" spans="1:18" x14ac:dyDescent="0.2">
      <c r="B151" s="123">
        <v>50072</v>
      </c>
      <c r="C151" s="119">
        <f t="shared" si="41"/>
        <v>206697.62966276286</v>
      </c>
      <c r="D151" s="119">
        <f t="shared" si="42"/>
        <v>599.4231260220123</v>
      </c>
      <c r="E151" s="119">
        <f t="shared" si="45"/>
        <v>751.5768739779877</v>
      </c>
      <c r="F151" s="119">
        <v>1351</v>
      </c>
      <c r="G151" s="120"/>
      <c r="H151" s="120"/>
      <c r="I151" s="119">
        <f t="shared" si="46"/>
        <v>812.37857751760407</v>
      </c>
      <c r="J151" s="120"/>
      <c r="K151" s="119"/>
      <c r="L151" s="119"/>
      <c r="M151" s="119"/>
      <c r="N151" s="119"/>
      <c r="O151" s="119">
        <f t="shared" si="44"/>
        <v>212.95545149559177</v>
      </c>
      <c r="P151" s="119"/>
      <c r="Q151" s="120"/>
      <c r="R151" s="120"/>
    </row>
    <row r="152" spans="1:18" x14ac:dyDescent="0.2">
      <c r="B152" s="123">
        <v>50100</v>
      </c>
      <c r="C152" s="119">
        <f t="shared" si="41"/>
        <v>205946.05278878487</v>
      </c>
      <c r="D152" s="119">
        <f t="shared" si="42"/>
        <v>597.24355308747602</v>
      </c>
      <c r="E152" s="119">
        <f t="shared" si="45"/>
        <v>753.75644691252398</v>
      </c>
      <c r="F152" s="119">
        <v>1351</v>
      </c>
      <c r="G152" s="120"/>
      <c r="H152" s="120"/>
      <c r="I152" s="119">
        <f t="shared" si="46"/>
        <v>812.37857751760407</v>
      </c>
      <c r="J152" s="120"/>
      <c r="K152" s="119"/>
      <c r="L152" s="119"/>
      <c r="M152" s="119"/>
      <c r="N152" s="119"/>
      <c r="O152" s="119">
        <f t="shared" si="44"/>
        <v>215.13502443012806</v>
      </c>
      <c r="P152" s="119"/>
      <c r="Q152" s="120"/>
      <c r="R152" s="120"/>
    </row>
    <row r="153" spans="1:18" x14ac:dyDescent="0.2">
      <c r="B153" s="123">
        <v>50131</v>
      </c>
      <c r="C153" s="119">
        <f t="shared" si="41"/>
        <v>205192.29634187234</v>
      </c>
      <c r="D153" s="119">
        <f t="shared" si="42"/>
        <v>595.05765939142975</v>
      </c>
      <c r="E153" s="119">
        <f t="shared" si="45"/>
        <v>755.94234060857025</v>
      </c>
      <c r="F153" s="119">
        <v>1351</v>
      </c>
      <c r="G153" s="120"/>
      <c r="H153" s="120"/>
      <c r="I153" s="119">
        <f t="shared" si="46"/>
        <v>812.37857751760407</v>
      </c>
      <c r="J153" s="120"/>
      <c r="K153" s="119"/>
      <c r="L153" s="119"/>
      <c r="M153" s="119"/>
      <c r="N153" s="119"/>
      <c r="O153" s="119">
        <f t="shared" si="44"/>
        <v>217.32091812617432</v>
      </c>
      <c r="P153" s="119"/>
      <c r="Q153" s="120"/>
      <c r="R153" s="120"/>
    </row>
    <row r="154" spans="1:18" x14ac:dyDescent="0.2">
      <c r="B154" s="123">
        <v>50161</v>
      </c>
      <c r="C154" s="119">
        <f t="shared" si="41"/>
        <v>204436.35400126377</v>
      </c>
      <c r="D154" s="119">
        <f t="shared" si="42"/>
        <v>592.8654266036649</v>
      </c>
      <c r="E154" s="119">
        <f t="shared" si="45"/>
        <v>758.1345733963351</v>
      </c>
      <c r="F154" s="119">
        <v>1351</v>
      </c>
      <c r="G154" s="120"/>
      <c r="H154" s="120"/>
      <c r="I154" s="119">
        <f t="shared" si="46"/>
        <v>812.37857751760407</v>
      </c>
      <c r="J154" s="120"/>
      <c r="K154" s="119"/>
      <c r="L154" s="119"/>
      <c r="M154" s="119"/>
      <c r="N154" s="119"/>
      <c r="O154" s="119">
        <f t="shared" si="44"/>
        <v>219.51315091393917</v>
      </c>
      <c r="P154" s="119"/>
      <c r="Q154" s="120"/>
      <c r="R154" s="120"/>
    </row>
    <row r="155" spans="1:18" x14ac:dyDescent="0.2">
      <c r="B155" s="123">
        <v>50192</v>
      </c>
      <c r="C155" s="119">
        <f t="shared" si="41"/>
        <v>203678.21942786744</v>
      </c>
      <c r="D155" s="119">
        <f t="shared" si="42"/>
        <v>590.66683634081551</v>
      </c>
      <c r="E155" s="119">
        <f t="shared" si="45"/>
        <v>760.33316365918449</v>
      </c>
      <c r="F155" s="119">
        <v>1351</v>
      </c>
      <c r="G155" s="120"/>
      <c r="H155" s="120"/>
      <c r="I155" s="119">
        <f t="shared" si="46"/>
        <v>812.37857751760407</v>
      </c>
      <c r="J155" s="120"/>
      <c r="K155" s="119"/>
      <c r="L155" s="119"/>
      <c r="M155" s="119"/>
      <c r="N155" s="119"/>
      <c r="O155" s="119">
        <f t="shared" si="44"/>
        <v>221.71174117678856</v>
      </c>
      <c r="P155" s="119"/>
      <c r="Q155" s="120"/>
      <c r="R155" s="120"/>
    </row>
    <row r="156" spans="1:18" x14ac:dyDescent="0.2">
      <c r="B156" s="123">
        <v>50222</v>
      </c>
      <c r="C156" s="119">
        <f t="shared" si="41"/>
        <v>202917.88626420827</v>
      </c>
      <c r="D156" s="119">
        <f t="shared" si="42"/>
        <v>588.46187016620399</v>
      </c>
      <c r="E156" s="119">
        <f t="shared" si="45"/>
        <v>762.53812983379601</v>
      </c>
      <c r="F156" s="119">
        <v>1351</v>
      </c>
      <c r="G156" s="120"/>
      <c r="H156" s="120"/>
      <c r="I156" s="119">
        <f t="shared" si="46"/>
        <v>812.37857751760407</v>
      </c>
      <c r="J156" s="120"/>
      <c r="K156" s="119"/>
      <c r="L156" s="119"/>
      <c r="M156" s="119"/>
      <c r="N156" s="119"/>
      <c r="O156" s="119">
        <f t="shared" si="44"/>
        <v>223.91670735140008</v>
      </c>
      <c r="P156" s="119"/>
      <c r="Q156" s="120"/>
      <c r="R156" s="120"/>
    </row>
    <row r="157" spans="1:18" x14ac:dyDescent="0.2">
      <c r="B157" s="123">
        <v>50253</v>
      </c>
      <c r="C157" s="119">
        <f t="shared" si="41"/>
        <v>202155.34813437448</v>
      </c>
      <c r="D157" s="119">
        <f t="shared" si="42"/>
        <v>586.25050958968598</v>
      </c>
      <c r="E157" s="119">
        <f t="shared" si="45"/>
        <v>764.74949041031402</v>
      </c>
      <c r="F157" s="119">
        <v>1351</v>
      </c>
      <c r="G157" s="120"/>
      <c r="H157" s="120"/>
      <c r="I157" s="119">
        <f t="shared" si="46"/>
        <v>812.37857751760407</v>
      </c>
      <c r="J157" s="120"/>
      <c r="K157" s="119"/>
      <c r="L157" s="119"/>
      <c r="M157" s="119"/>
      <c r="N157" s="119"/>
      <c r="O157" s="119">
        <f t="shared" si="44"/>
        <v>226.1280679279181</v>
      </c>
      <c r="P157" s="119"/>
      <c r="Q157" s="120"/>
      <c r="R157" s="120"/>
    </row>
    <row r="158" spans="1:18" x14ac:dyDescent="0.2">
      <c r="B158" s="123">
        <v>50283</v>
      </c>
      <c r="C158" s="119">
        <f>C157-E157</f>
        <v>201390.59864396416</v>
      </c>
      <c r="D158" s="119">
        <v>0</v>
      </c>
      <c r="E158" s="119">
        <v>0</v>
      </c>
      <c r="F158" s="119">
        <v>0</v>
      </c>
      <c r="G158" s="119"/>
      <c r="H158" s="119"/>
      <c r="I158" s="119"/>
      <c r="J158" s="120"/>
      <c r="K158" s="119"/>
      <c r="L158" s="119"/>
      <c r="M158" s="119"/>
      <c r="N158" s="119"/>
      <c r="O158" s="119">
        <f>D158-G158</f>
        <v>0</v>
      </c>
      <c r="P158" s="119"/>
      <c r="Q158" s="120"/>
      <c r="R158" s="120"/>
    </row>
    <row r="159" spans="1:18" x14ac:dyDescent="0.2">
      <c r="B159" s="123">
        <v>50284</v>
      </c>
      <c r="C159" s="119">
        <f>C158-G158</f>
        <v>201390.59864396416</v>
      </c>
      <c r="D159" s="119">
        <f t="shared" ref="D159:D170" si="47">(C159*S$2)/12</f>
        <v>584.03273606749599</v>
      </c>
      <c r="E159" s="119">
        <f t="shared" si="45"/>
        <v>766.96726393250401</v>
      </c>
      <c r="F159" s="119">
        <v>1351</v>
      </c>
      <c r="G159" s="120"/>
      <c r="H159" s="120"/>
      <c r="I159" s="119">
        <f t="shared" ref="I159" si="48">I157</f>
        <v>812.37857751760407</v>
      </c>
      <c r="J159" s="120"/>
      <c r="K159" s="119"/>
      <c r="L159" s="119"/>
      <c r="M159" s="119"/>
      <c r="N159" s="119"/>
      <c r="O159" s="119">
        <f t="shared" ref="O159:O170" si="49">I159-D159</f>
        <v>228.34584145010808</v>
      </c>
      <c r="P159" s="119"/>
      <c r="Q159" s="120"/>
      <c r="R159" s="120"/>
    </row>
    <row r="160" spans="1:18" x14ac:dyDescent="0.2">
      <c r="B160" s="123">
        <v>50314</v>
      </c>
      <c r="C160" s="119">
        <f t="shared" ref="C160:C210" si="50">C159-E159</f>
        <v>200623.63138003164</v>
      </c>
      <c r="D160" s="119">
        <f t="shared" si="47"/>
        <v>581.80853100209174</v>
      </c>
      <c r="E160" s="119">
        <f t="shared" si="45"/>
        <v>769.19146899790826</v>
      </c>
      <c r="F160" s="119">
        <v>1351</v>
      </c>
      <c r="G160" s="120"/>
      <c r="H160" s="120"/>
      <c r="I160" s="119">
        <f>I159</f>
        <v>812.37857751760407</v>
      </c>
      <c r="J160" s="120"/>
      <c r="K160" s="119"/>
      <c r="L160" s="119"/>
      <c r="M160" s="119"/>
      <c r="N160" s="119"/>
      <c r="O160" s="119">
        <f t="shared" si="49"/>
        <v>230.57004651551233</v>
      </c>
      <c r="P160" s="119"/>
      <c r="Q160" s="120"/>
      <c r="R160" s="120"/>
    </row>
    <row r="161" spans="1:18" x14ac:dyDescent="0.2">
      <c r="B161" s="123">
        <v>50345</v>
      </c>
      <c r="C161" s="119">
        <f t="shared" si="50"/>
        <v>199854.43991103373</v>
      </c>
      <c r="D161" s="119">
        <f t="shared" si="47"/>
        <v>579.57787574199779</v>
      </c>
      <c r="E161" s="119">
        <f t="shared" si="45"/>
        <v>771.42212425800221</v>
      </c>
      <c r="F161" s="119">
        <v>1351</v>
      </c>
      <c r="G161" s="120"/>
      <c r="H161" s="120"/>
      <c r="I161" s="119">
        <f>I159</f>
        <v>812.37857751760407</v>
      </c>
      <c r="J161" s="120"/>
      <c r="K161" s="119"/>
      <c r="L161" s="119"/>
      <c r="M161" s="119"/>
      <c r="N161" s="119"/>
      <c r="O161" s="119">
        <f t="shared" si="49"/>
        <v>232.80070177560629</v>
      </c>
      <c r="P161" s="119"/>
      <c r="Q161" s="120"/>
      <c r="R161" s="120"/>
    </row>
    <row r="162" spans="1:18" s="3" customFormat="1" x14ac:dyDescent="0.2">
      <c r="A162" s="3">
        <v>12</v>
      </c>
      <c r="B162" s="121">
        <v>50375</v>
      </c>
      <c r="C162" s="118">
        <f t="shared" si="50"/>
        <v>199083.01778677572</v>
      </c>
      <c r="D162" s="118">
        <f t="shared" si="47"/>
        <v>577.34075158164956</v>
      </c>
      <c r="E162" s="118">
        <f t="shared" si="45"/>
        <v>773.65924841835044</v>
      </c>
      <c r="F162" s="118">
        <v>1351</v>
      </c>
      <c r="G162" s="117"/>
      <c r="H162" s="117"/>
      <c r="I162" s="118">
        <f>I161*$A$31</f>
        <v>824.56425618036803</v>
      </c>
      <c r="J162" s="118">
        <f>(I162/$J$2)/0.66</f>
        <v>15.616747276143332</v>
      </c>
      <c r="K162" s="118">
        <f>SUM(E150:E162)+G158</f>
        <v>9137.674727933234</v>
      </c>
      <c r="L162" s="118">
        <f>SUM(I150:I162)-SUM(D150:D162)</f>
        <v>2686.4033368072469</v>
      </c>
      <c r="M162" s="118"/>
      <c r="N162" s="118">
        <v>2500</v>
      </c>
      <c r="O162" s="118">
        <f t="shared" si="49"/>
        <v>247.22350459871848</v>
      </c>
      <c r="P162" s="118">
        <f>SUM(O150:O162)+M162+N162</f>
        <v>5186.4033368072469</v>
      </c>
      <c r="Q162" s="118">
        <f>L162+M162+N162</f>
        <v>5186.4033368072469</v>
      </c>
      <c r="R162" s="122">
        <f>Q162/K162</f>
        <v>0.56758458702330183</v>
      </c>
    </row>
    <row r="163" spans="1:18" x14ac:dyDescent="0.2">
      <c r="B163" s="123">
        <v>50406</v>
      </c>
      <c r="C163" s="119">
        <f t="shared" si="50"/>
        <v>198309.35853835737</v>
      </c>
      <c r="D163" s="119">
        <f t="shared" si="47"/>
        <v>575.09713976123635</v>
      </c>
      <c r="E163" s="119">
        <f t="shared" si="45"/>
        <v>775.90286023876365</v>
      </c>
      <c r="F163" s="119">
        <v>1351</v>
      </c>
      <c r="G163" s="120"/>
      <c r="H163" s="120"/>
      <c r="I163" s="119">
        <f t="shared" ref="I163:I170" si="51">I162</f>
        <v>824.56425618036803</v>
      </c>
      <c r="J163" s="120"/>
      <c r="K163" s="119"/>
      <c r="L163" s="119"/>
      <c r="M163" s="119"/>
      <c r="N163" s="119"/>
      <c r="O163" s="119">
        <f t="shared" si="49"/>
        <v>249.46711641913168</v>
      </c>
      <c r="P163" s="119"/>
      <c r="Q163" s="120"/>
      <c r="R163" s="120"/>
    </row>
    <row r="164" spans="1:18" x14ac:dyDescent="0.2">
      <c r="B164" s="123">
        <v>50437</v>
      </c>
      <c r="C164" s="119">
        <f t="shared" si="50"/>
        <v>197533.4556781186</v>
      </c>
      <c r="D164" s="119">
        <f t="shared" si="47"/>
        <v>572.84702146654388</v>
      </c>
      <c r="E164" s="119">
        <f t="shared" si="45"/>
        <v>778.15297853345612</v>
      </c>
      <c r="F164" s="119">
        <v>1351</v>
      </c>
      <c r="G164" s="120"/>
      <c r="H164" s="120"/>
      <c r="I164" s="119">
        <f t="shared" si="51"/>
        <v>824.56425618036803</v>
      </c>
      <c r="J164" s="120"/>
      <c r="K164" s="119"/>
      <c r="L164" s="119"/>
      <c r="M164" s="119"/>
      <c r="N164" s="119"/>
      <c r="O164" s="119">
        <f t="shared" si="49"/>
        <v>251.71723471382415</v>
      </c>
      <c r="P164" s="119"/>
      <c r="Q164" s="120"/>
      <c r="R164" s="120"/>
    </row>
    <row r="165" spans="1:18" x14ac:dyDescent="0.2">
      <c r="B165" s="123">
        <v>50465</v>
      </c>
      <c r="C165" s="119">
        <f t="shared" si="50"/>
        <v>196755.30269958515</v>
      </c>
      <c r="D165" s="119">
        <f t="shared" si="47"/>
        <v>570.59037782879693</v>
      </c>
      <c r="E165" s="119">
        <f t="shared" si="45"/>
        <v>780.40962217120307</v>
      </c>
      <c r="F165" s="119">
        <v>1351</v>
      </c>
      <c r="G165" s="120"/>
      <c r="H165" s="120"/>
      <c r="I165" s="119">
        <f t="shared" si="51"/>
        <v>824.56425618036803</v>
      </c>
      <c r="J165" s="120"/>
      <c r="K165" s="119"/>
      <c r="L165" s="119"/>
      <c r="M165" s="119"/>
      <c r="N165" s="119"/>
      <c r="O165" s="119">
        <f t="shared" si="49"/>
        <v>253.9738783515711</v>
      </c>
      <c r="P165" s="119"/>
      <c r="Q165" s="120"/>
      <c r="R165" s="120"/>
    </row>
    <row r="166" spans="1:18" x14ac:dyDescent="0.2">
      <c r="B166" s="123">
        <v>50496</v>
      </c>
      <c r="C166" s="119">
        <f t="shared" si="50"/>
        <v>195974.89307741396</v>
      </c>
      <c r="D166" s="119">
        <f t="shared" si="47"/>
        <v>568.32718992450043</v>
      </c>
      <c r="E166" s="119">
        <f t="shared" si="45"/>
        <v>782.67281007549957</v>
      </c>
      <c r="F166" s="119">
        <v>1351</v>
      </c>
      <c r="G166" s="120"/>
      <c r="H166" s="120"/>
      <c r="I166" s="119">
        <f t="shared" si="51"/>
        <v>824.56425618036803</v>
      </c>
      <c r="J166" s="120"/>
      <c r="K166" s="119"/>
      <c r="L166" s="119"/>
      <c r="M166" s="119"/>
      <c r="N166" s="119"/>
      <c r="O166" s="119">
        <f t="shared" si="49"/>
        <v>256.2370662558676</v>
      </c>
      <c r="P166" s="119"/>
      <c r="Q166" s="120"/>
      <c r="R166" s="120"/>
    </row>
    <row r="167" spans="1:18" x14ac:dyDescent="0.2">
      <c r="B167" s="123">
        <v>50526</v>
      </c>
      <c r="C167" s="119">
        <f t="shared" si="50"/>
        <v>195192.22026733845</v>
      </c>
      <c r="D167" s="119">
        <f t="shared" si="47"/>
        <v>566.05743877528141</v>
      </c>
      <c r="E167" s="119">
        <f t="shared" si="45"/>
        <v>784.94256122471859</v>
      </c>
      <c r="F167" s="119">
        <v>1351</v>
      </c>
      <c r="G167" s="120"/>
      <c r="H167" s="120"/>
      <c r="I167" s="119">
        <f t="shared" si="51"/>
        <v>824.56425618036803</v>
      </c>
      <c r="J167" s="120"/>
      <c r="K167" s="119"/>
      <c r="L167" s="119"/>
      <c r="M167" s="119"/>
      <c r="N167" s="119"/>
      <c r="O167" s="119">
        <f t="shared" si="49"/>
        <v>258.50681740508662</v>
      </c>
      <c r="P167" s="119"/>
      <c r="Q167" s="120"/>
      <c r="R167" s="120"/>
    </row>
    <row r="168" spans="1:18" x14ac:dyDescent="0.2">
      <c r="B168" s="123">
        <v>50557</v>
      </c>
      <c r="C168" s="119">
        <f t="shared" si="50"/>
        <v>194407.27770611373</v>
      </c>
      <c r="D168" s="119">
        <f t="shared" si="47"/>
        <v>563.78110534772975</v>
      </c>
      <c r="E168" s="119">
        <f t="shared" si="45"/>
        <v>787.21889465227025</v>
      </c>
      <c r="F168" s="119">
        <v>1351</v>
      </c>
      <c r="G168" s="120"/>
      <c r="H168" s="120"/>
      <c r="I168" s="119">
        <f t="shared" si="51"/>
        <v>824.56425618036803</v>
      </c>
      <c r="J168" s="120"/>
      <c r="K168" s="119"/>
      <c r="L168" s="119"/>
      <c r="M168" s="119"/>
      <c r="N168" s="119"/>
      <c r="O168" s="119">
        <f t="shared" si="49"/>
        <v>260.78315083263828</v>
      </c>
      <c r="P168" s="119"/>
      <c r="Q168" s="120"/>
      <c r="R168" s="120"/>
    </row>
    <row r="169" spans="1:18" x14ac:dyDescent="0.2">
      <c r="B169" s="123">
        <v>50587</v>
      </c>
      <c r="C169" s="119">
        <f t="shared" si="50"/>
        <v>193620.05881146147</v>
      </c>
      <c r="D169" s="119">
        <f t="shared" si="47"/>
        <v>561.4981705532382</v>
      </c>
      <c r="E169" s="119">
        <f t="shared" si="45"/>
        <v>789.5018294467618</v>
      </c>
      <c r="F169" s="119">
        <v>1351</v>
      </c>
      <c r="G169" s="120"/>
      <c r="H169" s="120"/>
      <c r="I169" s="119">
        <f t="shared" si="51"/>
        <v>824.56425618036803</v>
      </c>
      <c r="J169" s="120"/>
      <c r="K169" s="119"/>
      <c r="L169" s="119"/>
      <c r="M169" s="119"/>
      <c r="N169" s="119"/>
      <c r="O169" s="119">
        <f t="shared" si="49"/>
        <v>263.06608562712984</v>
      </c>
      <c r="P169" s="119"/>
      <c r="Q169" s="120"/>
      <c r="R169" s="120"/>
    </row>
    <row r="170" spans="1:18" x14ac:dyDescent="0.2">
      <c r="B170" s="123">
        <v>50618</v>
      </c>
      <c r="C170" s="119">
        <f t="shared" si="50"/>
        <v>192830.55698201471</v>
      </c>
      <c r="D170" s="119">
        <f t="shared" si="47"/>
        <v>559.20861524784266</v>
      </c>
      <c r="E170" s="119">
        <f t="shared" si="45"/>
        <v>791.79138475215734</v>
      </c>
      <c r="F170" s="119">
        <v>1351</v>
      </c>
      <c r="G170" s="120"/>
      <c r="H170" s="120"/>
      <c r="I170" s="119">
        <f t="shared" si="51"/>
        <v>824.56425618036803</v>
      </c>
      <c r="J170" s="120"/>
      <c r="K170" s="119"/>
      <c r="L170" s="119"/>
      <c r="M170" s="119"/>
      <c r="N170" s="119"/>
      <c r="O170" s="119">
        <f t="shared" si="49"/>
        <v>265.35564093252538</v>
      </c>
      <c r="P170" s="119"/>
      <c r="Q170" s="120"/>
      <c r="R170" s="120"/>
    </row>
    <row r="171" spans="1:18" x14ac:dyDescent="0.2">
      <c r="B171" s="123">
        <v>50648</v>
      </c>
      <c r="C171" s="119">
        <f>C170-E170</f>
        <v>192038.76559726254</v>
      </c>
      <c r="D171" s="119">
        <v>0</v>
      </c>
      <c r="E171" s="119">
        <v>0</v>
      </c>
      <c r="F171" s="119">
        <v>0</v>
      </c>
      <c r="G171" s="119"/>
      <c r="H171" s="119"/>
      <c r="I171" s="119"/>
      <c r="J171" s="120"/>
      <c r="K171" s="119"/>
      <c r="L171" s="119"/>
      <c r="M171" s="119"/>
      <c r="N171" s="119"/>
      <c r="O171" s="119">
        <f>D171-G171</f>
        <v>0</v>
      </c>
      <c r="P171" s="119"/>
      <c r="Q171" s="120"/>
      <c r="R171" s="120"/>
    </row>
    <row r="172" spans="1:18" x14ac:dyDescent="0.2">
      <c r="B172" s="123">
        <v>50649</v>
      </c>
      <c r="C172" s="119">
        <f>C171-G171</f>
        <v>192038.76559726254</v>
      </c>
      <c r="D172" s="119">
        <f t="shared" ref="D172:D183" si="52">(C172*S$2)/12</f>
        <v>556.91242023206132</v>
      </c>
      <c r="E172" s="119">
        <f t="shared" si="45"/>
        <v>794.08757976793868</v>
      </c>
      <c r="F172" s="119">
        <v>1351</v>
      </c>
      <c r="G172" s="120"/>
      <c r="H172" s="120"/>
      <c r="I172" s="119">
        <f t="shared" ref="I172" si="53">I170</f>
        <v>824.56425618036803</v>
      </c>
      <c r="J172" s="120"/>
      <c r="K172" s="119"/>
      <c r="L172" s="119"/>
      <c r="M172" s="119"/>
      <c r="N172" s="119"/>
      <c r="O172" s="119">
        <f t="shared" ref="O172:O183" si="54">I172-D172</f>
        <v>267.65183594830671</v>
      </c>
      <c r="P172" s="119"/>
      <c r="Q172" s="120"/>
      <c r="R172" s="120"/>
    </row>
    <row r="173" spans="1:18" x14ac:dyDescent="0.2">
      <c r="B173" s="123">
        <v>50679</v>
      </c>
      <c r="C173" s="119">
        <f t="shared" si="50"/>
        <v>191244.67801749459</v>
      </c>
      <c r="D173" s="119">
        <f t="shared" si="52"/>
        <v>554.60956625073425</v>
      </c>
      <c r="E173" s="119">
        <f t="shared" si="45"/>
        <v>796.39043374926575</v>
      </c>
      <c r="F173" s="119">
        <v>1351</v>
      </c>
      <c r="G173" s="120"/>
      <c r="H173" s="120"/>
      <c r="I173" s="119">
        <f>I172</f>
        <v>824.56425618036803</v>
      </c>
      <c r="J173" s="120"/>
      <c r="K173" s="119"/>
      <c r="L173" s="119"/>
      <c r="M173" s="119"/>
      <c r="N173" s="119"/>
      <c r="O173" s="119">
        <f t="shared" si="54"/>
        <v>269.95468992963379</v>
      </c>
      <c r="P173" s="119"/>
      <c r="Q173" s="120"/>
      <c r="R173" s="120"/>
    </row>
    <row r="174" spans="1:18" x14ac:dyDescent="0.2">
      <c r="B174" s="123">
        <v>50710</v>
      </c>
      <c r="C174" s="119">
        <f t="shared" si="50"/>
        <v>190448.28758374532</v>
      </c>
      <c r="D174" s="119">
        <f t="shared" si="52"/>
        <v>552.30003399286136</v>
      </c>
      <c r="E174" s="119">
        <f t="shared" si="45"/>
        <v>798.69996600713864</v>
      </c>
      <c r="F174" s="119">
        <v>1351</v>
      </c>
      <c r="G174" s="120"/>
      <c r="H174" s="120"/>
      <c r="I174" s="119">
        <f>I172</f>
        <v>824.56425618036803</v>
      </c>
      <c r="J174" s="120"/>
      <c r="K174" s="119"/>
      <c r="L174" s="119"/>
      <c r="M174" s="119"/>
      <c r="N174" s="119"/>
      <c r="O174" s="119">
        <f t="shared" si="54"/>
        <v>272.26422218750668</v>
      </c>
      <c r="P174" s="119"/>
      <c r="Q174" s="120"/>
      <c r="R174" s="120"/>
    </row>
    <row r="175" spans="1:18" s="3" customFormat="1" x14ac:dyDescent="0.2">
      <c r="A175" s="3">
        <v>13</v>
      </c>
      <c r="B175" s="121">
        <v>50740</v>
      </c>
      <c r="C175" s="118">
        <f t="shared" si="50"/>
        <v>189649.58761773817</v>
      </c>
      <c r="D175" s="118">
        <f t="shared" si="52"/>
        <v>549.98380409144067</v>
      </c>
      <c r="E175" s="118">
        <f t="shared" si="45"/>
        <v>801.01619590855933</v>
      </c>
      <c r="F175" s="118">
        <v>1351</v>
      </c>
      <c r="G175" s="117"/>
      <c r="H175" s="117"/>
      <c r="I175" s="118">
        <f>I174*$A$31</f>
        <v>836.93272002307344</v>
      </c>
      <c r="J175" s="118">
        <f>(I175/$J$2)/0.66</f>
        <v>15.85099848528548</v>
      </c>
      <c r="K175" s="118">
        <f>SUM(E163:E175)+G171</f>
        <v>9460.7871165277338</v>
      </c>
      <c r="L175" s="118">
        <f>SUM(I163:I175)-SUM(D163:D175)</f>
        <v>3155.9266545348546</v>
      </c>
      <c r="M175" s="118"/>
      <c r="N175" s="118">
        <v>2500</v>
      </c>
      <c r="O175" s="118">
        <f t="shared" si="54"/>
        <v>286.94891593163277</v>
      </c>
      <c r="P175" s="118">
        <f>SUM(O163:O175)+M175+N175</f>
        <v>5655.9266545348546</v>
      </c>
      <c r="Q175" s="118">
        <f>L175+M175+N175</f>
        <v>5655.9266545348546</v>
      </c>
      <c r="R175" s="122">
        <f>Q175/K175</f>
        <v>0.5978283397429065</v>
      </c>
    </row>
    <row r="176" spans="1:18" x14ac:dyDescent="0.2">
      <c r="B176" s="123">
        <v>50771</v>
      </c>
      <c r="C176" s="119">
        <f t="shared" si="50"/>
        <v>188848.57142182961</v>
      </c>
      <c r="D176" s="119">
        <f t="shared" si="52"/>
        <v>547.66085712330585</v>
      </c>
      <c r="E176" s="119">
        <f t="shared" si="45"/>
        <v>803.33914287669415</v>
      </c>
      <c r="F176" s="119">
        <v>1351</v>
      </c>
      <c r="G176" s="120"/>
      <c r="H176" s="120"/>
      <c r="I176" s="119">
        <f t="shared" ref="I176:I183" si="55">I175</f>
        <v>836.93272002307344</v>
      </c>
      <c r="J176" s="120"/>
      <c r="K176" s="119"/>
      <c r="L176" s="119"/>
      <c r="M176" s="119"/>
      <c r="N176" s="119"/>
      <c r="O176" s="119">
        <f t="shared" si="54"/>
        <v>289.2718628997676</v>
      </c>
      <c r="P176" s="119"/>
      <c r="Q176" s="120"/>
      <c r="R176" s="120"/>
    </row>
    <row r="177" spans="1:18" x14ac:dyDescent="0.2">
      <c r="B177" s="123">
        <v>50802</v>
      </c>
      <c r="C177" s="119">
        <f t="shared" si="50"/>
        <v>188045.2322789529</v>
      </c>
      <c r="D177" s="119">
        <f t="shared" si="52"/>
        <v>545.33117360896335</v>
      </c>
      <c r="E177" s="119">
        <f t="shared" si="45"/>
        <v>805.66882639103665</v>
      </c>
      <c r="F177" s="119">
        <v>1351</v>
      </c>
      <c r="G177" s="120"/>
      <c r="H177" s="120"/>
      <c r="I177" s="119">
        <f t="shared" si="55"/>
        <v>836.93272002307344</v>
      </c>
      <c r="J177" s="120"/>
      <c r="K177" s="119"/>
      <c r="L177" s="119"/>
      <c r="M177" s="119"/>
      <c r="N177" s="119"/>
      <c r="O177" s="119">
        <f t="shared" si="54"/>
        <v>291.60154641411009</v>
      </c>
      <c r="P177" s="119"/>
      <c r="Q177" s="120"/>
      <c r="R177" s="120"/>
    </row>
    <row r="178" spans="1:18" x14ac:dyDescent="0.2">
      <c r="B178" s="123">
        <v>50830</v>
      </c>
      <c r="C178" s="119">
        <f t="shared" si="50"/>
        <v>187239.56345256185</v>
      </c>
      <c r="D178" s="119">
        <f t="shared" si="52"/>
        <v>542.99473401242938</v>
      </c>
      <c r="E178" s="119">
        <f t="shared" si="45"/>
        <v>808.00526598757062</v>
      </c>
      <c r="F178" s="119">
        <v>1351</v>
      </c>
      <c r="G178" s="120"/>
      <c r="H178" s="120"/>
      <c r="I178" s="119">
        <f t="shared" si="55"/>
        <v>836.93272002307344</v>
      </c>
      <c r="J178" s="120"/>
      <c r="K178" s="119"/>
      <c r="L178" s="119"/>
      <c r="M178" s="119"/>
      <c r="N178" s="119"/>
      <c r="O178" s="119">
        <f t="shared" si="54"/>
        <v>293.93798601064407</v>
      </c>
      <c r="P178" s="119"/>
      <c r="Q178" s="120"/>
      <c r="R178" s="120"/>
    </row>
    <row r="179" spans="1:18" x14ac:dyDescent="0.2">
      <c r="B179" s="123">
        <v>50861</v>
      </c>
      <c r="C179" s="119">
        <f t="shared" si="50"/>
        <v>186431.55818657429</v>
      </c>
      <c r="D179" s="119">
        <f t="shared" si="52"/>
        <v>540.65151874106539</v>
      </c>
      <c r="E179" s="119">
        <f t="shared" si="45"/>
        <v>810.34848125893461</v>
      </c>
      <c r="F179" s="119">
        <v>1351</v>
      </c>
      <c r="G179" s="120"/>
      <c r="H179" s="120"/>
      <c r="I179" s="119">
        <f t="shared" si="55"/>
        <v>836.93272002307344</v>
      </c>
      <c r="J179" s="120"/>
      <c r="K179" s="119"/>
      <c r="L179" s="119"/>
      <c r="M179" s="119"/>
      <c r="N179" s="119"/>
      <c r="O179" s="119">
        <f t="shared" si="54"/>
        <v>296.28120128200806</v>
      </c>
      <c r="P179" s="119"/>
      <c r="Q179" s="120"/>
      <c r="R179" s="120"/>
    </row>
    <row r="180" spans="1:18" x14ac:dyDescent="0.2">
      <c r="B180" s="123">
        <v>50891</v>
      </c>
      <c r="C180" s="119">
        <f t="shared" si="50"/>
        <v>185621.20970531536</v>
      </c>
      <c r="D180" s="119">
        <f t="shared" si="52"/>
        <v>538.30150814541446</v>
      </c>
      <c r="E180" s="119">
        <f t="shared" si="45"/>
        <v>812.69849185458554</v>
      </c>
      <c r="F180" s="119">
        <v>1351</v>
      </c>
      <c r="G180" s="120"/>
      <c r="H180" s="120"/>
      <c r="I180" s="119">
        <f t="shared" si="55"/>
        <v>836.93272002307344</v>
      </c>
      <c r="J180" s="120"/>
      <c r="K180" s="119"/>
      <c r="L180" s="119"/>
      <c r="M180" s="119"/>
      <c r="N180" s="119"/>
      <c r="O180" s="119">
        <f t="shared" si="54"/>
        <v>298.63121187765898</v>
      </c>
      <c r="P180" s="119"/>
      <c r="Q180" s="120"/>
      <c r="R180" s="120"/>
    </row>
    <row r="181" spans="1:18" x14ac:dyDescent="0.2">
      <c r="B181" s="123">
        <v>50922</v>
      </c>
      <c r="C181" s="119">
        <f t="shared" si="50"/>
        <v>184808.51121346076</v>
      </c>
      <c r="D181" s="119">
        <f t="shared" si="52"/>
        <v>535.94468251903618</v>
      </c>
      <c r="E181" s="119">
        <f t="shared" si="45"/>
        <v>815.05531748096382</v>
      </c>
      <c r="F181" s="119">
        <v>1351</v>
      </c>
      <c r="G181" s="120"/>
      <c r="H181" s="120"/>
      <c r="I181" s="119">
        <f t="shared" si="55"/>
        <v>836.93272002307344</v>
      </c>
      <c r="J181" s="120"/>
      <c r="K181" s="119"/>
      <c r="L181" s="119"/>
      <c r="M181" s="119"/>
      <c r="N181" s="119"/>
      <c r="O181" s="119">
        <f t="shared" si="54"/>
        <v>300.98803750403727</v>
      </c>
      <c r="P181" s="119"/>
      <c r="Q181" s="120"/>
      <c r="R181" s="120"/>
    </row>
    <row r="182" spans="1:18" x14ac:dyDescent="0.2">
      <c r="B182" s="123">
        <v>50952</v>
      </c>
      <c r="C182" s="119">
        <f t="shared" si="50"/>
        <v>183993.4558959798</v>
      </c>
      <c r="D182" s="119">
        <f t="shared" si="52"/>
        <v>533.58102209834135</v>
      </c>
      <c r="E182" s="119">
        <f t="shared" si="45"/>
        <v>817.41897790165865</v>
      </c>
      <c r="F182" s="119">
        <v>1351</v>
      </c>
      <c r="G182" s="120"/>
      <c r="H182" s="120"/>
      <c r="I182" s="119">
        <f t="shared" si="55"/>
        <v>836.93272002307344</v>
      </c>
      <c r="J182" s="120"/>
      <c r="K182" s="119"/>
      <c r="L182" s="119"/>
      <c r="M182" s="119"/>
      <c r="N182" s="119"/>
      <c r="O182" s="119">
        <f t="shared" si="54"/>
        <v>303.35169792473209</v>
      </c>
      <c r="P182" s="119"/>
      <c r="Q182" s="120"/>
      <c r="R182" s="120"/>
    </row>
    <row r="183" spans="1:18" x14ac:dyDescent="0.2">
      <c r="B183" s="123">
        <v>50983</v>
      </c>
      <c r="C183" s="119">
        <f t="shared" si="50"/>
        <v>183176.03691807814</v>
      </c>
      <c r="D183" s="119">
        <f t="shared" si="52"/>
        <v>531.21050706242659</v>
      </c>
      <c r="E183" s="119">
        <f t="shared" si="45"/>
        <v>819.78949293757341</v>
      </c>
      <c r="F183" s="119">
        <v>1351</v>
      </c>
      <c r="G183" s="120"/>
      <c r="H183" s="120"/>
      <c r="I183" s="119">
        <f t="shared" si="55"/>
        <v>836.93272002307344</v>
      </c>
      <c r="J183" s="120"/>
      <c r="K183" s="119"/>
      <c r="L183" s="119"/>
      <c r="M183" s="119"/>
      <c r="N183" s="119"/>
      <c r="O183" s="119">
        <f t="shared" si="54"/>
        <v>305.72221296064686</v>
      </c>
      <c r="P183" s="119"/>
      <c r="Q183" s="120"/>
      <c r="R183" s="120"/>
    </row>
    <row r="184" spans="1:18" x14ac:dyDescent="0.2">
      <c r="B184" s="123">
        <v>51013</v>
      </c>
      <c r="C184" s="119">
        <f>C183-E183</f>
        <v>182356.24742514058</v>
      </c>
      <c r="D184" s="119">
        <v>0</v>
      </c>
      <c r="E184" s="119">
        <v>0</v>
      </c>
      <c r="F184" s="119">
        <v>0</v>
      </c>
      <c r="G184" s="119"/>
      <c r="H184" s="119"/>
      <c r="I184" s="119"/>
      <c r="J184" s="120"/>
      <c r="K184" s="119"/>
      <c r="L184" s="119"/>
      <c r="M184" s="119"/>
      <c r="N184" s="119"/>
      <c r="O184" s="119">
        <f>D184-G184</f>
        <v>0</v>
      </c>
      <c r="P184" s="119"/>
      <c r="Q184" s="120"/>
      <c r="R184" s="120"/>
    </row>
    <row r="185" spans="1:18" x14ac:dyDescent="0.2">
      <c r="B185" s="123">
        <v>51014</v>
      </c>
      <c r="C185" s="119">
        <f>C184-G184</f>
        <v>182356.24742514058</v>
      </c>
      <c r="D185" s="119">
        <f t="shared" ref="D185:D196" si="56">(C185*S$2)/12</f>
        <v>528.83311753290764</v>
      </c>
      <c r="E185" s="119">
        <f t="shared" si="45"/>
        <v>822.16688246709236</v>
      </c>
      <c r="F185" s="119">
        <v>1351</v>
      </c>
      <c r="G185" s="120"/>
      <c r="H185" s="120"/>
      <c r="I185" s="119">
        <f t="shared" ref="I185" si="57">I183</f>
        <v>836.93272002307344</v>
      </c>
      <c r="J185" s="120"/>
      <c r="K185" s="119"/>
      <c r="L185" s="119"/>
      <c r="M185" s="119"/>
      <c r="N185" s="119"/>
      <c r="O185" s="119">
        <f t="shared" ref="O185:O196" si="58">I185-D185</f>
        <v>308.09960249016581</v>
      </c>
      <c r="P185" s="119"/>
      <c r="Q185" s="120"/>
      <c r="R185" s="120"/>
    </row>
    <row r="186" spans="1:18" x14ac:dyDescent="0.2">
      <c r="B186" s="123">
        <v>51044</v>
      </c>
      <c r="C186" s="119">
        <f t="shared" si="50"/>
        <v>181534.08054267347</v>
      </c>
      <c r="D186" s="119">
        <f t="shared" si="56"/>
        <v>526.44883357375306</v>
      </c>
      <c r="E186" s="119">
        <f t="shared" si="45"/>
        <v>824.55116642624694</v>
      </c>
      <c r="F186" s="119">
        <v>1351</v>
      </c>
      <c r="G186" s="120"/>
      <c r="H186" s="120"/>
      <c r="I186" s="119">
        <f>I185</f>
        <v>836.93272002307344</v>
      </c>
      <c r="J186" s="120"/>
      <c r="K186" s="119"/>
      <c r="L186" s="119"/>
      <c r="M186" s="119"/>
      <c r="N186" s="119"/>
      <c r="O186" s="119">
        <f t="shared" si="58"/>
        <v>310.48388644932038</v>
      </c>
      <c r="P186" s="119"/>
      <c r="Q186" s="120"/>
      <c r="R186" s="120"/>
    </row>
    <row r="187" spans="1:18" x14ac:dyDescent="0.2">
      <c r="B187" s="123">
        <v>51075</v>
      </c>
      <c r="C187" s="119">
        <f t="shared" si="50"/>
        <v>180709.52937624723</v>
      </c>
      <c r="D187" s="119">
        <f t="shared" si="56"/>
        <v>524.0576351911169</v>
      </c>
      <c r="E187" s="119">
        <f t="shared" si="45"/>
        <v>826.9423648088831</v>
      </c>
      <c r="F187" s="119">
        <v>1351</v>
      </c>
      <c r="G187" s="120"/>
      <c r="H187" s="120"/>
      <c r="I187" s="119">
        <f>I185</f>
        <v>836.93272002307344</v>
      </c>
      <c r="J187" s="120"/>
      <c r="K187" s="119"/>
      <c r="L187" s="119"/>
      <c r="M187" s="119"/>
      <c r="N187" s="119"/>
      <c r="O187" s="119">
        <f t="shared" si="58"/>
        <v>312.87508483195654</v>
      </c>
      <c r="P187" s="119"/>
      <c r="Q187" s="120"/>
      <c r="R187" s="120"/>
    </row>
    <row r="188" spans="1:18" s="3" customFormat="1" x14ac:dyDescent="0.2">
      <c r="A188" s="3">
        <v>14</v>
      </c>
      <c r="B188" s="121">
        <v>51105</v>
      </c>
      <c r="C188" s="118">
        <f t="shared" si="50"/>
        <v>179882.58701143836</v>
      </c>
      <c r="D188" s="118">
        <f t="shared" si="56"/>
        <v>521.65950233317119</v>
      </c>
      <c r="E188" s="118">
        <f t="shared" si="45"/>
        <v>829.34049766682881</v>
      </c>
      <c r="F188" s="118">
        <v>1351</v>
      </c>
      <c r="G188" s="117"/>
      <c r="H188" s="117"/>
      <c r="I188" s="118">
        <f>I187*$A$31</f>
        <v>849.48671082341946</v>
      </c>
      <c r="J188" s="118">
        <f>(I188/$J$2)/0.66</f>
        <v>16.08876346256476</v>
      </c>
      <c r="K188" s="118">
        <f>SUM(E176:E188)+G184</f>
        <v>9795.3249080580681</v>
      </c>
      <c r="L188" s="118">
        <f>SUM(I176:I188)-SUM(D176:D188)</f>
        <v>3639.071539135296</v>
      </c>
      <c r="M188" s="118"/>
      <c r="N188" s="118">
        <v>2500</v>
      </c>
      <c r="O188" s="118">
        <f t="shared" si="58"/>
        <v>327.82720849024827</v>
      </c>
      <c r="P188" s="118">
        <f>SUM(O176:O188)+M188+N188</f>
        <v>6139.0715391352969</v>
      </c>
      <c r="Q188" s="118">
        <f>L188+M188+N188</f>
        <v>6139.071539135296</v>
      </c>
      <c r="R188" s="122">
        <f>Q188/K188</f>
        <v>0.6267348553272617</v>
      </c>
    </row>
    <row r="189" spans="1:18" x14ac:dyDescent="0.2">
      <c r="B189" s="123">
        <v>51136</v>
      </c>
      <c r="C189" s="119">
        <f t="shared" si="50"/>
        <v>179053.24651377153</v>
      </c>
      <c r="D189" s="119">
        <f t="shared" si="56"/>
        <v>519.25441488993738</v>
      </c>
      <c r="E189" s="119">
        <f t="shared" si="45"/>
        <v>831.74558511006262</v>
      </c>
      <c r="F189" s="119">
        <v>1351</v>
      </c>
      <c r="G189" s="120"/>
      <c r="H189" s="120"/>
      <c r="I189" s="119">
        <f t="shared" ref="I189:I196" si="59">I188</f>
        <v>849.48671082341946</v>
      </c>
      <c r="J189" s="120"/>
      <c r="K189" s="119"/>
      <c r="L189" s="119"/>
      <c r="M189" s="119"/>
      <c r="N189" s="119"/>
      <c r="O189" s="119">
        <f t="shared" si="58"/>
        <v>330.23229593348208</v>
      </c>
      <c r="P189" s="119"/>
      <c r="Q189" s="120"/>
      <c r="R189" s="120"/>
    </row>
    <row r="190" spans="1:18" x14ac:dyDescent="0.2">
      <c r="B190" s="123">
        <v>51167</v>
      </c>
      <c r="C190" s="119">
        <f t="shared" si="50"/>
        <v>178221.50092866147</v>
      </c>
      <c r="D190" s="119">
        <f t="shared" si="56"/>
        <v>516.84235269311819</v>
      </c>
      <c r="E190" s="119">
        <f t="shared" si="45"/>
        <v>834.15764730688181</v>
      </c>
      <c r="F190" s="119">
        <v>1351</v>
      </c>
      <c r="G190" s="120"/>
      <c r="H190" s="120"/>
      <c r="I190" s="119">
        <f t="shared" si="59"/>
        <v>849.48671082341946</v>
      </c>
      <c r="J190" s="120"/>
      <c r="K190" s="119"/>
      <c r="L190" s="119"/>
      <c r="M190" s="119"/>
      <c r="N190" s="119"/>
      <c r="O190" s="119">
        <f t="shared" si="58"/>
        <v>332.64435813030127</v>
      </c>
      <c r="P190" s="119"/>
      <c r="Q190" s="120"/>
      <c r="R190" s="120"/>
    </row>
    <row r="191" spans="1:18" x14ac:dyDescent="0.2">
      <c r="B191" s="123">
        <v>51196</v>
      </c>
      <c r="C191" s="119">
        <f t="shared" si="50"/>
        <v>177387.34328135458</v>
      </c>
      <c r="D191" s="119">
        <f t="shared" si="56"/>
        <v>514.42329551592832</v>
      </c>
      <c r="E191" s="119">
        <f t="shared" si="45"/>
        <v>836.57670448407168</v>
      </c>
      <c r="F191" s="119">
        <v>1351</v>
      </c>
      <c r="G191" s="120"/>
      <c r="H191" s="120"/>
      <c r="I191" s="119">
        <f t="shared" si="59"/>
        <v>849.48671082341946</v>
      </c>
      <c r="J191" s="120"/>
      <c r="K191" s="119"/>
      <c r="L191" s="119"/>
      <c r="M191" s="119"/>
      <c r="N191" s="119"/>
      <c r="O191" s="119">
        <f t="shared" si="58"/>
        <v>335.06341530749114</v>
      </c>
      <c r="P191" s="119"/>
      <c r="Q191" s="120"/>
      <c r="R191" s="120"/>
    </row>
    <row r="192" spans="1:18" x14ac:dyDescent="0.2">
      <c r="B192" s="123">
        <v>51227</v>
      </c>
      <c r="C192" s="119">
        <f t="shared" si="50"/>
        <v>176550.76657687052</v>
      </c>
      <c r="D192" s="119">
        <f t="shared" si="56"/>
        <v>511.9972230729245</v>
      </c>
      <c r="E192" s="119">
        <f t="shared" si="45"/>
        <v>839.0027769270755</v>
      </c>
      <c r="F192" s="119">
        <v>1351</v>
      </c>
      <c r="G192" s="120"/>
      <c r="H192" s="120"/>
      <c r="I192" s="119">
        <f t="shared" si="59"/>
        <v>849.48671082341946</v>
      </c>
      <c r="J192" s="120"/>
      <c r="K192" s="119"/>
      <c r="L192" s="119"/>
      <c r="M192" s="119"/>
      <c r="N192" s="119"/>
      <c r="O192" s="119">
        <f t="shared" si="58"/>
        <v>337.48948775049496</v>
      </c>
      <c r="P192" s="119"/>
      <c r="Q192" s="120"/>
      <c r="R192" s="120"/>
    </row>
    <row r="193" spans="1:18" x14ac:dyDescent="0.2">
      <c r="B193" s="123">
        <v>51257</v>
      </c>
      <c r="C193" s="119">
        <f t="shared" si="50"/>
        <v>175711.76379994344</v>
      </c>
      <c r="D193" s="119">
        <f t="shared" si="56"/>
        <v>509.56411501983592</v>
      </c>
      <c r="E193" s="119">
        <f t="shared" si="45"/>
        <v>841.43588498016402</v>
      </c>
      <c r="F193" s="119">
        <v>1351</v>
      </c>
      <c r="G193" s="120"/>
      <c r="H193" s="120"/>
      <c r="I193" s="119">
        <f t="shared" si="59"/>
        <v>849.48671082341946</v>
      </c>
      <c r="J193" s="120"/>
      <c r="K193" s="119"/>
      <c r="L193" s="119"/>
      <c r="M193" s="119"/>
      <c r="N193" s="119"/>
      <c r="O193" s="119">
        <f t="shared" si="58"/>
        <v>339.92259580358353</v>
      </c>
      <c r="P193" s="119"/>
      <c r="Q193" s="120"/>
      <c r="R193" s="120"/>
    </row>
    <row r="194" spans="1:18" x14ac:dyDescent="0.2">
      <c r="B194" s="123">
        <v>51288</v>
      </c>
      <c r="C194" s="119">
        <f t="shared" si="50"/>
        <v>174870.32791496327</v>
      </c>
      <c r="D194" s="119">
        <f t="shared" si="56"/>
        <v>507.12395095339343</v>
      </c>
      <c r="E194" s="119">
        <f t="shared" si="45"/>
        <v>843.87604904660657</v>
      </c>
      <c r="F194" s="119">
        <v>1351</v>
      </c>
      <c r="G194" s="120"/>
      <c r="H194" s="120"/>
      <c r="I194" s="119">
        <f t="shared" si="59"/>
        <v>849.48671082341946</v>
      </c>
      <c r="J194" s="120"/>
      <c r="K194" s="119"/>
      <c r="L194" s="119"/>
      <c r="M194" s="119"/>
      <c r="N194" s="119"/>
      <c r="O194" s="119">
        <f t="shared" si="58"/>
        <v>342.36275987002603</v>
      </c>
      <c r="P194" s="119"/>
      <c r="Q194" s="120"/>
      <c r="R194" s="120"/>
    </row>
    <row r="195" spans="1:18" x14ac:dyDescent="0.2">
      <c r="B195" s="123">
        <v>51318</v>
      </c>
      <c r="C195" s="119">
        <f t="shared" si="50"/>
        <v>174026.45186591666</v>
      </c>
      <c r="D195" s="119">
        <f t="shared" si="56"/>
        <v>504.67671041115824</v>
      </c>
      <c r="E195" s="119">
        <f t="shared" si="45"/>
        <v>846.32328958884182</v>
      </c>
      <c r="F195" s="119">
        <v>1351</v>
      </c>
      <c r="G195" s="120"/>
      <c r="H195" s="120"/>
      <c r="I195" s="119">
        <f t="shared" si="59"/>
        <v>849.48671082341946</v>
      </c>
      <c r="J195" s="120"/>
      <c r="K195" s="119"/>
      <c r="L195" s="119"/>
      <c r="M195" s="119"/>
      <c r="N195" s="119"/>
      <c r="O195" s="119">
        <f t="shared" si="58"/>
        <v>344.81000041226122</v>
      </c>
      <c r="P195" s="119"/>
      <c r="Q195" s="120"/>
      <c r="R195" s="120"/>
    </row>
    <row r="196" spans="1:18" x14ac:dyDescent="0.2">
      <c r="B196" s="123">
        <v>51349</v>
      </c>
      <c r="C196" s="119">
        <f t="shared" si="50"/>
        <v>173180.12857632781</v>
      </c>
      <c r="D196" s="119">
        <f t="shared" si="56"/>
        <v>502.22237287135061</v>
      </c>
      <c r="E196" s="119">
        <f t="shared" si="45"/>
        <v>848.77762712864933</v>
      </c>
      <c r="F196" s="119">
        <v>1351</v>
      </c>
      <c r="G196" s="120"/>
      <c r="H196" s="120"/>
      <c r="I196" s="119">
        <f t="shared" si="59"/>
        <v>849.48671082341946</v>
      </c>
      <c r="J196" s="120"/>
      <c r="K196" s="119"/>
      <c r="L196" s="119"/>
      <c r="M196" s="119"/>
      <c r="N196" s="119"/>
      <c r="O196" s="119">
        <f t="shared" si="58"/>
        <v>347.26433795206884</v>
      </c>
      <c r="P196" s="119"/>
      <c r="Q196" s="120"/>
      <c r="R196" s="120"/>
    </row>
    <row r="197" spans="1:18" x14ac:dyDescent="0.2">
      <c r="B197" s="123">
        <v>51379</v>
      </c>
      <c r="C197" s="119">
        <f>C196-E196</f>
        <v>172331.35094919917</v>
      </c>
      <c r="D197" s="119">
        <v>0</v>
      </c>
      <c r="E197" s="119">
        <v>0</v>
      </c>
      <c r="F197" s="119">
        <v>0</v>
      </c>
      <c r="G197" s="119"/>
      <c r="H197" s="119"/>
      <c r="I197" s="119"/>
      <c r="J197" s="120"/>
      <c r="K197" s="119"/>
      <c r="L197" s="119"/>
      <c r="M197" s="119"/>
      <c r="N197" s="119"/>
      <c r="O197" s="119">
        <f>D197-G197</f>
        <v>0</v>
      </c>
      <c r="P197" s="119"/>
      <c r="Q197" s="120"/>
      <c r="R197" s="120"/>
    </row>
    <row r="198" spans="1:18" x14ac:dyDescent="0.2">
      <c r="B198" s="123">
        <v>51380</v>
      </c>
      <c r="C198" s="119">
        <f>C197-G197</f>
        <v>172331.35094919917</v>
      </c>
      <c r="D198" s="119">
        <f t="shared" ref="D198:D211" si="60">(C198*S$2)/12</f>
        <v>499.76091775267759</v>
      </c>
      <c r="E198" s="119">
        <f t="shared" si="45"/>
        <v>851.23908224732236</v>
      </c>
      <c r="F198" s="119">
        <v>1351</v>
      </c>
      <c r="G198" s="120"/>
      <c r="H198" s="120"/>
      <c r="I198" s="119">
        <f t="shared" ref="I198" si="61">I196</f>
        <v>849.48671082341946</v>
      </c>
      <c r="J198" s="120"/>
      <c r="K198" s="119"/>
      <c r="L198" s="119"/>
      <c r="M198" s="119"/>
      <c r="N198" s="119"/>
      <c r="O198" s="119">
        <f t="shared" ref="O198:O211" si="62">I198-D198</f>
        <v>349.72579307074187</v>
      </c>
      <c r="P198" s="119"/>
      <c r="Q198" s="120"/>
      <c r="R198" s="120"/>
    </row>
    <row r="199" spans="1:18" x14ac:dyDescent="0.2">
      <c r="B199" s="123">
        <v>51410</v>
      </c>
      <c r="C199" s="119">
        <f t="shared" si="50"/>
        <v>171480.11186695186</v>
      </c>
      <c r="D199" s="119">
        <f t="shared" si="60"/>
        <v>497.29232441416042</v>
      </c>
      <c r="E199" s="119">
        <f t="shared" si="45"/>
        <v>853.70767558583952</v>
      </c>
      <c r="F199" s="119">
        <v>1351</v>
      </c>
      <c r="G199" s="120"/>
      <c r="H199" s="120"/>
      <c r="I199" s="119">
        <f>I198</f>
        <v>849.48671082341946</v>
      </c>
      <c r="J199" s="120"/>
      <c r="K199" s="119"/>
      <c r="L199" s="119"/>
      <c r="M199" s="119"/>
      <c r="N199" s="119"/>
      <c r="O199" s="119">
        <f t="shared" si="62"/>
        <v>352.19438640925904</v>
      </c>
      <c r="P199" s="119"/>
      <c r="Q199" s="120"/>
      <c r="R199" s="120"/>
    </row>
    <row r="200" spans="1:18" x14ac:dyDescent="0.2">
      <c r="B200" s="123">
        <v>51441</v>
      </c>
      <c r="C200" s="119">
        <f t="shared" si="50"/>
        <v>170626.40419136602</v>
      </c>
      <c r="D200" s="119">
        <f t="shared" si="60"/>
        <v>494.81657215496142</v>
      </c>
      <c r="E200" s="119">
        <f t="shared" si="45"/>
        <v>856.18342784503852</v>
      </c>
      <c r="F200" s="119">
        <v>1351</v>
      </c>
      <c r="G200" s="120"/>
      <c r="H200" s="120"/>
      <c r="I200" s="119">
        <f>I198</f>
        <v>849.48671082341946</v>
      </c>
      <c r="J200" s="120"/>
      <c r="K200" s="119"/>
      <c r="L200" s="119"/>
      <c r="M200" s="119"/>
      <c r="N200" s="119"/>
      <c r="O200" s="119">
        <f t="shared" si="62"/>
        <v>354.67013866845804</v>
      </c>
      <c r="P200" s="119"/>
      <c r="Q200" s="120"/>
      <c r="R200" s="120"/>
    </row>
    <row r="201" spans="1:18" s="3" customFormat="1" x14ac:dyDescent="0.2">
      <c r="A201" s="3">
        <v>15</v>
      </c>
      <c r="B201" s="121">
        <v>51471</v>
      </c>
      <c r="C201" s="118">
        <f t="shared" si="50"/>
        <v>169770.22076352098</v>
      </c>
      <c r="D201" s="118">
        <f t="shared" si="60"/>
        <v>492.33364021421079</v>
      </c>
      <c r="E201" s="118">
        <f t="shared" si="45"/>
        <v>858.66635978578915</v>
      </c>
      <c r="F201" s="118">
        <v>1351</v>
      </c>
      <c r="G201" s="117"/>
      <c r="H201" s="117"/>
      <c r="I201" s="118">
        <f>I200*$A$31</f>
        <v>862.22901148577068</v>
      </c>
      <c r="J201" s="118">
        <f>(I201/$J$2)/0.66</f>
        <v>16.330094914503231</v>
      </c>
      <c r="K201" s="118">
        <f>SUM(E189:E201)+G197</f>
        <v>10141.692110036343</v>
      </c>
      <c r="L201" s="118">
        <f>SUM(I189:I201)-SUM(D189:D201)</f>
        <v>4136.2749405797304</v>
      </c>
      <c r="M201" s="118"/>
      <c r="N201" s="118">
        <v>2500</v>
      </c>
      <c r="O201" s="118">
        <f t="shared" si="62"/>
        <v>369.8953712715599</v>
      </c>
      <c r="P201" s="118">
        <f>SUM(O189:O201)+M201+N201</f>
        <v>6636.2749405797276</v>
      </c>
      <c r="Q201" s="118">
        <f>L201+M201+N201</f>
        <v>6636.2749405797304</v>
      </c>
      <c r="R201" s="122">
        <f>Q201/K201</f>
        <v>0.65435578881480649</v>
      </c>
    </row>
    <row r="202" spans="1:18" x14ac:dyDescent="0.2">
      <c r="B202" s="123">
        <v>51502</v>
      </c>
      <c r="C202" s="119">
        <f t="shared" si="50"/>
        <v>168911.55440373518</v>
      </c>
      <c r="D202" s="119">
        <f t="shared" si="60"/>
        <v>489.84350777083199</v>
      </c>
      <c r="E202" s="119">
        <f t="shared" si="45"/>
        <v>861.15649222916795</v>
      </c>
      <c r="F202" s="119">
        <v>1351</v>
      </c>
      <c r="G202" s="120"/>
      <c r="H202" s="120"/>
      <c r="I202" s="119">
        <f t="shared" ref="I202:I210" si="63">I201</f>
        <v>862.22901148577068</v>
      </c>
      <c r="J202" s="120"/>
      <c r="K202" s="119"/>
      <c r="L202" s="119"/>
      <c r="M202" s="119"/>
      <c r="N202" s="119"/>
      <c r="O202" s="119">
        <f t="shared" si="62"/>
        <v>372.38550371493869</v>
      </c>
      <c r="P202" s="119"/>
      <c r="Q202" s="120"/>
      <c r="R202" s="120"/>
    </row>
    <row r="203" spans="1:18" x14ac:dyDescent="0.2">
      <c r="B203" s="123">
        <v>51533</v>
      </c>
      <c r="C203" s="119">
        <f t="shared" si="50"/>
        <v>168050.39791150601</v>
      </c>
      <c r="D203" s="119">
        <f t="shared" si="60"/>
        <v>487.34615394336737</v>
      </c>
      <c r="E203" s="119">
        <f t="shared" si="45"/>
        <v>863.65384605663257</v>
      </c>
      <c r="F203" s="119">
        <v>1351</v>
      </c>
      <c r="G203" s="120"/>
      <c r="H203" s="120"/>
      <c r="I203" s="119">
        <f t="shared" si="63"/>
        <v>862.22901148577068</v>
      </c>
      <c r="J203" s="120"/>
      <c r="K203" s="119"/>
      <c r="L203" s="119"/>
      <c r="M203" s="119"/>
      <c r="N203" s="119"/>
      <c r="O203" s="119">
        <f t="shared" si="62"/>
        <v>374.88285754240331</v>
      </c>
      <c r="P203" s="119"/>
      <c r="Q203" s="120"/>
      <c r="R203" s="120"/>
    </row>
    <row r="204" spans="1:18" x14ac:dyDescent="0.2">
      <c r="B204" s="123">
        <v>51561</v>
      </c>
      <c r="C204" s="119">
        <f t="shared" si="50"/>
        <v>167186.74406544937</v>
      </c>
      <c r="D204" s="119">
        <f t="shared" si="60"/>
        <v>484.84155778980312</v>
      </c>
      <c r="E204" s="119">
        <f t="shared" si="45"/>
        <v>866.15844221019688</v>
      </c>
      <c r="F204" s="119">
        <v>1351</v>
      </c>
      <c r="G204" s="120"/>
      <c r="H204" s="120"/>
      <c r="I204" s="119">
        <f t="shared" si="63"/>
        <v>862.22901148577068</v>
      </c>
      <c r="J204" s="120"/>
      <c r="K204" s="119"/>
      <c r="L204" s="119"/>
      <c r="M204" s="119"/>
      <c r="N204" s="119"/>
      <c r="O204" s="119">
        <f t="shared" si="62"/>
        <v>377.38745369596757</v>
      </c>
      <c r="P204" s="119"/>
      <c r="Q204" s="120"/>
      <c r="R204" s="120"/>
    </row>
    <row r="205" spans="1:18" x14ac:dyDescent="0.2">
      <c r="B205" s="123">
        <v>51592</v>
      </c>
      <c r="C205" s="119">
        <f t="shared" si="50"/>
        <v>166320.58562323917</v>
      </c>
      <c r="D205" s="119">
        <f t="shared" si="60"/>
        <v>482.32969830739353</v>
      </c>
      <c r="E205" s="119">
        <f t="shared" si="45"/>
        <v>868.67030169260647</v>
      </c>
      <c r="F205" s="119">
        <v>1351</v>
      </c>
      <c r="G205" s="120"/>
      <c r="H205" s="120"/>
      <c r="I205" s="119">
        <f t="shared" si="63"/>
        <v>862.22901148577068</v>
      </c>
      <c r="J205" s="120"/>
      <c r="K205" s="119"/>
      <c r="L205" s="119"/>
      <c r="M205" s="119"/>
      <c r="N205" s="119"/>
      <c r="O205" s="119">
        <f t="shared" si="62"/>
        <v>379.89931317837716</v>
      </c>
      <c r="P205" s="119"/>
      <c r="Q205" s="120"/>
      <c r="R205" s="120"/>
    </row>
    <row r="206" spans="1:18" x14ac:dyDescent="0.2">
      <c r="B206" s="123">
        <v>51622</v>
      </c>
      <c r="C206" s="119">
        <f t="shared" si="50"/>
        <v>165451.91532154655</v>
      </c>
      <c r="D206" s="119">
        <f t="shared" si="60"/>
        <v>479.81055443248493</v>
      </c>
      <c r="E206" s="119">
        <f t="shared" si="45"/>
        <v>871.18944556751512</v>
      </c>
      <c r="F206" s="119">
        <v>1351</v>
      </c>
      <c r="G206" s="120"/>
      <c r="H206" s="120"/>
      <c r="I206" s="119">
        <f t="shared" si="63"/>
        <v>862.22901148577068</v>
      </c>
      <c r="J206" s="120"/>
      <c r="K206" s="119"/>
      <c r="L206" s="119"/>
      <c r="M206" s="119"/>
      <c r="N206" s="119"/>
      <c r="O206" s="119">
        <f t="shared" si="62"/>
        <v>382.41845705328575</v>
      </c>
      <c r="P206" s="119"/>
      <c r="Q206" s="120"/>
      <c r="R206" s="120"/>
    </row>
    <row r="207" spans="1:18" x14ac:dyDescent="0.2">
      <c r="B207" s="123">
        <v>51653</v>
      </c>
      <c r="C207" s="119">
        <f t="shared" si="50"/>
        <v>164580.72587597903</v>
      </c>
      <c r="D207" s="119">
        <f t="shared" si="60"/>
        <v>477.28410504033917</v>
      </c>
      <c r="E207" s="119">
        <f t="shared" si="45"/>
        <v>873.71589495966077</v>
      </c>
      <c r="F207" s="119">
        <v>1351</v>
      </c>
      <c r="G207" s="120"/>
      <c r="H207" s="120"/>
      <c r="I207" s="119">
        <f t="shared" si="63"/>
        <v>862.22901148577068</v>
      </c>
      <c r="J207" s="120"/>
      <c r="K207" s="119"/>
      <c r="L207" s="119"/>
      <c r="M207" s="119"/>
      <c r="N207" s="119"/>
      <c r="O207" s="119">
        <f t="shared" si="62"/>
        <v>384.94490644543151</v>
      </c>
      <c r="P207" s="119"/>
      <c r="Q207" s="120"/>
      <c r="R207" s="120"/>
    </row>
    <row r="208" spans="1:18" x14ac:dyDescent="0.2">
      <c r="B208" s="123">
        <v>51683</v>
      </c>
      <c r="C208" s="119">
        <f t="shared" si="50"/>
        <v>163707.00998101936</v>
      </c>
      <c r="D208" s="119">
        <f t="shared" si="60"/>
        <v>474.75032894495615</v>
      </c>
      <c r="E208" s="119">
        <f t="shared" si="45"/>
        <v>876.24967105504379</v>
      </c>
      <c r="F208" s="119">
        <v>1351</v>
      </c>
      <c r="G208" s="120"/>
      <c r="H208" s="120"/>
      <c r="I208" s="119">
        <f t="shared" si="63"/>
        <v>862.22901148577068</v>
      </c>
      <c r="J208" s="120"/>
      <c r="K208" s="119"/>
      <c r="L208" s="119"/>
      <c r="M208" s="119"/>
      <c r="N208" s="119"/>
      <c r="O208" s="119">
        <f t="shared" si="62"/>
        <v>387.47868254081453</v>
      </c>
      <c r="P208" s="119"/>
      <c r="Q208" s="120"/>
      <c r="R208" s="120"/>
    </row>
    <row r="209" spans="1:19" x14ac:dyDescent="0.2">
      <c r="B209" s="123">
        <v>51714</v>
      </c>
      <c r="C209" s="119">
        <f t="shared" si="50"/>
        <v>162830.76030996433</v>
      </c>
      <c r="D209" s="119">
        <f t="shared" si="60"/>
        <v>472.20920489889653</v>
      </c>
      <c r="E209" s="119">
        <f t="shared" si="45"/>
        <v>878.79079510110341</v>
      </c>
      <c r="F209" s="119">
        <v>1351</v>
      </c>
      <c r="G209" s="120"/>
      <c r="H209" s="120"/>
      <c r="I209" s="119">
        <f t="shared" si="63"/>
        <v>862.22901148577068</v>
      </c>
      <c r="J209" s="120"/>
      <c r="K209" s="119"/>
      <c r="L209" s="119"/>
      <c r="M209" s="119"/>
      <c r="N209" s="119"/>
      <c r="O209" s="119">
        <f t="shared" si="62"/>
        <v>390.01980658687415</v>
      </c>
      <c r="P209" s="119"/>
      <c r="Q209" s="120"/>
      <c r="R209" s="120"/>
    </row>
    <row r="210" spans="1:19" x14ac:dyDescent="0.2">
      <c r="B210" s="123">
        <v>51745</v>
      </c>
      <c r="C210" s="119">
        <f t="shared" si="50"/>
        <v>161951.96951486322</v>
      </c>
      <c r="D210" s="119">
        <f t="shared" si="60"/>
        <v>469.66071159310331</v>
      </c>
      <c r="E210" s="119">
        <f t="shared" si="45"/>
        <v>881.33928840689669</v>
      </c>
      <c r="F210" s="119">
        <v>1351</v>
      </c>
      <c r="G210" s="120"/>
      <c r="H210" s="120"/>
      <c r="I210" s="119">
        <f t="shared" si="63"/>
        <v>862.22901148577068</v>
      </c>
      <c r="J210" s="120"/>
      <c r="K210" s="119"/>
      <c r="L210" s="119"/>
      <c r="M210" s="119"/>
      <c r="N210" s="119"/>
      <c r="O210" s="119">
        <f t="shared" si="62"/>
        <v>392.56829989266737</v>
      </c>
      <c r="P210" s="119"/>
      <c r="Q210" s="120"/>
      <c r="R210" s="120"/>
    </row>
    <row r="211" spans="1:19" s="4" customFormat="1" x14ac:dyDescent="0.2">
      <c r="B211" s="123">
        <v>51775</v>
      </c>
      <c r="C211" s="119">
        <f t="shared" ref="C211" si="64">C210-E210</f>
        <v>161070.63022645633</v>
      </c>
      <c r="D211" s="119">
        <f t="shared" si="60"/>
        <v>467.10482765672333</v>
      </c>
      <c r="E211" s="119">
        <f t="shared" ref="E211" si="65">F211-D211</f>
        <v>883.89517234327673</v>
      </c>
      <c r="F211" s="119">
        <v>1351</v>
      </c>
      <c r="G211" s="120"/>
      <c r="H211" s="120"/>
      <c r="I211" s="119">
        <f t="shared" ref="I211" si="66">I209</f>
        <v>862.22901148577068</v>
      </c>
      <c r="J211" s="120"/>
      <c r="K211" s="119"/>
      <c r="L211" s="119"/>
      <c r="M211" s="119"/>
      <c r="N211" s="119"/>
      <c r="O211" s="125">
        <f t="shared" si="62"/>
        <v>395.12418382904735</v>
      </c>
      <c r="P211" s="119"/>
      <c r="Q211" s="120"/>
      <c r="R211" s="120"/>
    </row>
    <row r="212" spans="1:19" x14ac:dyDescent="0.2">
      <c r="B212" s="123">
        <v>51806</v>
      </c>
      <c r="C212" s="119">
        <f t="shared" ref="C212:C275" si="67">C211-E211</f>
        <v>160186.73505411306</v>
      </c>
      <c r="D212" s="119">
        <f t="shared" ref="D212:D275" si="68">(C212*S$2)/12</f>
        <v>464.54153165692787</v>
      </c>
      <c r="E212" s="119">
        <f t="shared" ref="E212:E275" si="69">F212-D212</f>
        <v>886.45846834307213</v>
      </c>
      <c r="F212" s="119">
        <v>1351</v>
      </c>
      <c r="G212" s="120"/>
      <c r="H212" s="120"/>
      <c r="I212" s="119">
        <f>I211</f>
        <v>862.22901148577068</v>
      </c>
      <c r="J212" s="120"/>
      <c r="K212" s="119"/>
      <c r="L212" s="119"/>
      <c r="M212" s="119"/>
      <c r="N212" s="119"/>
      <c r="O212" s="125">
        <f t="shared" ref="O212" si="70">I212-D212</f>
        <v>397.68747982884281</v>
      </c>
      <c r="P212" s="119"/>
      <c r="Q212" s="120"/>
      <c r="R212" s="120"/>
    </row>
    <row r="213" spans="1:19" x14ac:dyDescent="0.2">
      <c r="A213">
        <v>16</v>
      </c>
      <c r="B213" s="123">
        <v>51836</v>
      </c>
      <c r="C213" s="119">
        <f t="shared" si="67"/>
        <v>159300.27658576999</v>
      </c>
      <c r="D213" s="119">
        <f t="shared" si="68"/>
        <v>461.97080209873292</v>
      </c>
      <c r="E213" s="119">
        <f t="shared" si="69"/>
        <v>889.02919790126703</v>
      </c>
      <c r="F213" s="119">
        <v>1351</v>
      </c>
      <c r="G213" s="120"/>
      <c r="H213" s="120"/>
      <c r="I213" s="118">
        <f>I212*$A$31</f>
        <v>875.16244665805721</v>
      </c>
      <c r="J213" s="118">
        <f>(I213/$J$2)/0.66</f>
        <v>16.57504633822078</v>
      </c>
      <c r="K213" s="118">
        <f>SUM(E202:E213)</f>
        <v>10500.30701586644</v>
      </c>
      <c r="L213" s="118">
        <f>SUM(I202:I213)-SUM(D202:D213)</f>
        <v>4647.9885888679773</v>
      </c>
      <c r="M213" s="118"/>
      <c r="N213" s="118">
        <v>2500</v>
      </c>
      <c r="O213" s="119">
        <f>I213-D213</f>
        <v>413.19164455932429</v>
      </c>
      <c r="P213" s="118">
        <f>SUM(O202:O213)+M213+N213</f>
        <v>7147.9885888679746</v>
      </c>
      <c r="Q213" s="118">
        <f>L213+M213+N213</f>
        <v>7147.9885888679773</v>
      </c>
      <c r="R213" s="122">
        <f>Q213/K213</f>
        <v>0.68074091339110776</v>
      </c>
    </row>
    <row r="214" spans="1:19" x14ac:dyDescent="0.2">
      <c r="B214" s="123">
        <v>51867</v>
      </c>
      <c r="C214" s="119">
        <f t="shared" si="67"/>
        <v>158411.24738786873</v>
      </c>
      <c r="D214" s="119">
        <f t="shared" si="68"/>
        <v>459.39261742481926</v>
      </c>
      <c r="E214" s="119">
        <f t="shared" si="69"/>
        <v>891.60738257518074</v>
      </c>
      <c r="F214" s="119">
        <v>1351</v>
      </c>
      <c r="G214" s="120"/>
      <c r="H214" s="120"/>
      <c r="I214" s="119">
        <f t="shared" ref="I214:I222" si="71">I213</f>
        <v>875.16244665805721</v>
      </c>
      <c r="J214" s="120"/>
      <c r="K214" s="119"/>
      <c r="L214" s="119"/>
      <c r="M214" s="119"/>
      <c r="N214" s="119"/>
      <c r="O214" s="119">
        <f t="shared" ref="O214:O224" si="72">I214-D214</f>
        <v>415.76982923323794</v>
      </c>
      <c r="P214" s="119"/>
      <c r="Q214" s="120"/>
      <c r="R214" s="120"/>
    </row>
    <row r="215" spans="1:19" x14ac:dyDescent="0.2">
      <c r="B215" s="123">
        <v>51898</v>
      </c>
      <c r="C215" s="119">
        <f t="shared" si="67"/>
        <v>157519.64000529356</v>
      </c>
      <c r="D215" s="119">
        <f t="shared" si="68"/>
        <v>456.80695601535132</v>
      </c>
      <c r="E215" s="119">
        <f t="shared" si="69"/>
        <v>894.19304398464874</v>
      </c>
      <c r="F215" s="119">
        <v>1351</v>
      </c>
      <c r="G215" s="120"/>
      <c r="H215" s="120"/>
      <c r="I215" s="119">
        <f t="shared" si="71"/>
        <v>875.16244665805721</v>
      </c>
      <c r="J215" s="120"/>
      <c r="K215" s="119"/>
      <c r="L215" s="119"/>
      <c r="M215" s="119"/>
      <c r="N215" s="119"/>
      <c r="O215" s="119">
        <f t="shared" si="72"/>
        <v>418.35549064270589</v>
      </c>
      <c r="P215" s="119"/>
      <c r="Q215" s="120"/>
      <c r="R215" s="120"/>
    </row>
    <row r="216" spans="1:19" x14ac:dyDescent="0.2">
      <c r="B216" s="123">
        <v>51926</v>
      </c>
      <c r="C216" s="119">
        <f t="shared" si="67"/>
        <v>156625.44696130892</v>
      </c>
      <c r="D216" s="119">
        <f t="shared" si="68"/>
        <v>454.21379618779582</v>
      </c>
      <c r="E216" s="119">
        <f t="shared" si="69"/>
        <v>896.78620381220412</v>
      </c>
      <c r="F216" s="119">
        <v>1351</v>
      </c>
      <c r="G216" s="120"/>
      <c r="H216" s="120"/>
      <c r="I216" s="119">
        <f t="shared" si="71"/>
        <v>875.16244665805721</v>
      </c>
      <c r="J216" s="120"/>
      <c r="K216" s="119"/>
      <c r="L216" s="119"/>
      <c r="M216" s="119"/>
      <c r="N216" s="119"/>
      <c r="O216" s="119">
        <f t="shared" si="72"/>
        <v>420.94865047026138</v>
      </c>
      <c r="P216" s="119"/>
      <c r="Q216" s="120"/>
      <c r="R216" s="120"/>
      <c r="S216" s="61"/>
    </row>
    <row r="217" spans="1:19" x14ac:dyDescent="0.2">
      <c r="B217" s="123">
        <v>51957</v>
      </c>
      <c r="C217" s="119">
        <f t="shared" si="67"/>
        <v>155728.66075749672</v>
      </c>
      <c r="D217" s="119">
        <f t="shared" si="68"/>
        <v>451.61311619674046</v>
      </c>
      <c r="E217" s="119">
        <f t="shared" si="69"/>
        <v>899.38688380325948</v>
      </c>
      <c r="F217" s="119">
        <v>1351</v>
      </c>
      <c r="G217" s="120"/>
      <c r="H217" s="120"/>
      <c r="I217" s="119">
        <f t="shared" si="71"/>
        <v>875.16244665805721</v>
      </c>
      <c r="J217" s="120"/>
      <c r="K217" s="119"/>
      <c r="L217" s="119"/>
      <c r="M217" s="119"/>
      <c r="N217" s="119"/>
      <c r="O217" s="119">
        <f t="shared" si="72"/>
        <v>423.54933046131674</v>
      </c>
      <c r="P217" s="119"/>
      <c r="Q217" s="120"/>
      <c r="R217" s="120"/>
    </row>
    <row r="218" spans="1:19" x14ac:dyDescent="0.2">
      <c r="B218" s="123">
        <v>51987</v>
      </c>
      <c r="C218" s="119">
        <f t="shared" si="67"/>
        <v>154829.27387369346</v>
      </c>
      <c r="D218" s="119">
        <f t="shared" si="68"/>
        <v>449.00489423371096</v>
      </c>
      <c r="E218" s="119">
        <f t="shared" si="69"/>
        <v>901.99510576628904</v>
      </c>
      <c r="F218" s="119">
        <v>1351</v>
      </c>
      <c r="G218" s="120"/>
      <c r="H218" s="120"/>
      <c r="I218" s="119">
        <f t="shared" si="71"/>
        <v>875.16244665805721</v>
      </c>
      <c r="J218" s="120"/>
      <c r="K218" s="119"/>
      <c r="L218" s="119"/>
      <c r="M218" s="119"/>
      <c r="N218" s="119"/>
      <c r="O218" s="119">
        <f t="shared" si="72"/>
        <v>426.15755242434625</v>
      </c>
      <c r="P218" s="119"/>
      <c r="Q218" s="120"/>
      <c r="R218" s="120"/>
    </row>
    <row r="219" spans="1:19" x14ac:dyDescent="0.2">
      <c r="B219" s="123">
        <v>52018</v>
      </c>
      <c r="C219" s="119">
        <f t="shared" si="67"/>
        <v>153927.27876792717</v>
      </c>
      <c r="D219" s="119">
        <f t="shared" si="68"/>
        <v>446.38910842698874</v>
      </c>
      <c r="E219" s="119">
        <f t="shared" si="69"/>
        <v>904.61089157301126</v>
      </c>
      <c r="F219" s="119">
        <v>1351</v>
      </c>
      <c r="G219" s="120"/>
      <c r="H219" s="120"/>
      <c r="I219" s="119">
        <f t="shared" si="71"/>
        <v>875.16244665805721</v>
      </c>
      <c r="J219" s="120"/>
      <c r="K219" s="119"/>
      <c r="L219" s="119"/>
      <c r="M219" s="119"/>
      <c r="N219" s="119"/>
      <c r="O219" s="119">
        <f t="shared" si="72"/>
        <v>428.77333823106846</v>
      </c>
      <c r="P219" s="119"/>
      <c r="Q219" s="120"/>
      <c r="R219" s="120"/>
    </row>
    <row r="220" spans="1:19" x14ac:dyDescent="0.2">
      <c r="B220" s="123">
        <v>52048</v>
      </c>
      <c r="C220" s="119">
        <f t="shared" si="67"/>
        <v>153022.66787635416</v>
      </c>
      <c r="D220" s="119">
        <f t="shared" si="68"/>
        <v>443.76573684142704</v>
      </c>
      <c r="E220" s="119">
        <f t="shared" si="69"/>
        <v>907.23426315857296</v>
      </c>
      <c r="F220" s="119">
        <v>1351</v>
      </c>
      <c r="G220" s="120"/>
      <c r="H220" s="120"/>
      <c r="I220" s="119">
        <f t="shared" si="71"/>
        <v>875.16244665805721</v>
      </c>
      <c r="J220" s="120"/>
      <c r="K220" s="119"/>
      <c r="L220" s="119"/>
      <c r="M220" s="119"/>
      <c r="N220" s="119"/>
      <c r="O220" s="119">
        <f t="shared" si="72"/>
        <v>431.39670981663016</v>
      </c>
      <c r="P220" s="119"/>
      <c r="Q220" s="120"/>
      <c r="R220" s="120"/>
    </row>
    <row r="221" spans="1:19" x14ac:dyDescent="0.2">
      <c r="B221" s="123">
        <v>52079</v>
      </c>
      <c r="C221" s="119">
        <f t="shared" si="67"/>
        <v>152115.43361319558</v>
      </c>
      <c r="D221" s="119">
        <f t="shared" si="68"/>
        <v>441.13475747826715</v>
      </c>
      <c r="E221" s="119">
        <f t="shared" si="69"/>
        <v>909.86524252173285</v>
      </c>
      <c r="F221" s="119">
        <v>1351</v>
      </c>
      <c r="G221" s="120"/>
      <c r="H221" s="120"/>
      <c r="I221" s="119">
        <f t="shared" si="71"/>
        <v>875.16244665805721</v>
      </c>
      <c r="J221" s="120"/>
      <c r="K221" s="119"/>
      <c r="L221" s="119"/>
      <c r="M221" s="119"/>
      <c r="N221" s="119"/>
      <c r="O221" s="119">
        <f t="shared" si="72"/>
        <v>434.02768917979006</v>
      </c>
      <c r="P221" s="119"/>
      <c r="Q221" s="120"/>
      <c r="R221" s="120"/>
    </row>
    <row r="222" spans="1:19" x14ac:dyDescent="0.2">
      <c r="B222" s="123">
        <v>52110</v>
      </c>
      <c r="C222" s="119">
        <f t="shared" si="67"/>
        <v>151205.56837067383</v>
      </c>
      <c r="D222" s="119">
        <f t="shared" si="68"/>
        <v>438.49614827495407</v>
      </c>
      <c r="E222" s="119">
        <f t="shared" si="69"/>
        <v>912.50385172504593</v>
      </c>
      <c r="F222" s="119">
        <v>1351</v>
      </c>
      <c r="G222" s="120"/>
      <c r="H222" s="120"/>
      <c r="I222" s="119">
        <f t="shared" si="71"/>
        <v>875.16244665805721</v>
      </c>
      <c r="J222" s="120"/>
      <c r="K222" s="119"/>
      <c r="L222" s="119"/>
      <c r="M222" s="119"/>
      <c r="N222" s="119"/>
      <c r="O222" s="119">
        <f t="shared" si="72"/>
        <v>436.66629838310314</v>
      </c>
      <c r="P222" s="119"/>
      <c r="Q222" s="120"/>
      <c r="R222" s="120"/>
    </row>
    <row r="223" spans="1:19" x14ac:dyDescent="0.2">
      <c r="B223" s="123">
        <v>52140</v>
      </c>
      <c r="C223" s="119">
        <f t="shared" si="67"/>
        <v>150293.06451894878</v>
      </c>
      <c r="D223" s="119">
        <f t="shared" si="68"/>
        <v>435.84988710495145</v>
      </c>
      <c r="E223" s="119">
        <f t="shared" si="69"/>
        <v>915.15011289504855</v>
      </c>
      <c r="F223" s="119">
        <v>1351</v>
      </c>
      <c r="G223" s="120"/>
      <c r="H223" s="120"/>
      <c r="I223" s="119">
        <f t="shared" ref="I223" si="73">I221</f>
        <v>875.16244665805721</v>
      </c>
      <c r="J223" s="120"/>
      <c r="K223" s="119"/>
      <c r="L223" s="119"/>
      <c r="M223" s="119"/>
      <c r="N223" s="119"/>
      <c r="O223" s="125">
        <f t="shared" si="72"/>
        <v>439.31255955310576</v>
      </c>
      <c r="P223" s="119"/>
      <c r="Q223" s="120"/>
      <c r="R223" s="120"/>
    </row>
    <row r="224" spans="1:19" x14ac:dyDescent="0.2">
      <c r="B224" s="123">
        <v>52171</v>
      </c>
      <c r="C224" s="119">
        <f t="shared" si="67"/>
        <v>149377.91440605372</v>
      </c>
      <c r="D224" s="119">
        <f t="shared" si="68"/>
        <v>433.19595177755576</v>
      </c>
      <c r="E224" s="119">
        <f t="shared" si="69"/>
        <v>917.80404822244418</v>
      </c>
      <c r="F224" s="119">
        <v>1351</v>
      </c>
      <c r="G224" s="120"/>
      <c r="H224" s="120"/>
      <c r="I224" s="119">
        <f>I223</f>
        <v>875.16244665805721</v>
      </c>
      <c r="J224" s="120"/>
      <c r="K224" s="119"/>
      <c r="L224" s="119"/>
      <c r="M224" s="119"/>
      <c r="N224" s="119"/>
      <c r="O224" s="125">
        <f t="shared" si="72"/>
        <v>441.96649488050144</v>
      </c>
      <c r="P224" s="119"/>
      <c r="Q224" s="120"/>
      <c r="R224" s="120"/>
    </row>
    <row r="225" spans="1:18" x14ac:dyDescent="0.2">
      <c r="A225">
        <v>17</v>
      </c>
      <c r="B225" s="123">
        <v>52201</v>
      </c>
      <c r="C225" s="119">
        <f t="shared" si="67"/>
        <v>148460.11035783129</v>
      </c>
      <c r="D225" s="119">
        <f t="shared" si="68"/>
        <v>430.53432003771076</v>
      </c>
      <c r="E225" s="119">
        <f t="shared" si="69"/>
        <v>920.46567996228919</v>
      </c>
      <c r="F225" s="119">
        <v>1351</v>
      </c>
      <c r="G225" s="120"/>
      <c r="H225" s="120"/>
      <c r="I225" s="118">
        <f>I224*$A$31</f>
        <v>888.28988335792803</v>
      </c>
      <c r="J225" s="118">
        <f>(I225/$J$2)/0.66</f>
        <v>16.823672033294091</v>
      </c>
      <c r="K225" s="118">
        <f>SUM(E214:E225)</f>
        <v>10871.602709999728</v>
      </c>
      <c r="L225" s="118">
        <f>SUM(I214:I225)-SUM(D214:D225)</f>
        <v>5174.6795065962833</v>
      </c>
      <c r="M225" s="118"/>
      <c r="N225" s="118">
        <v>2500</v>
      </c>
      <c r="O225" s="119">
        <f>I225-D225</f>
        <v>457.75556332021728</v>
      </c>
      <c r="P225" s="118">
        <f>SUM(O214:O225)+M225+N225</f>
        <v>7674.6795065962842</v>
      </c>
      <c r="Q225" s="118">
        <f>L225+M225+N225</f>
        <v>7674.6795065962833</v>
      </c>
      <c r="R225" s="122"/>
    </row>
    <row r="226" spans="1:18" x14ac:dyDescent="0.2">
      <c r="B226" s="123">
        <v>52232</v>
      </c>
      <c r="C226" s="119">
        <f t="shared" si="67"/>
        <v>147539.64467786902</v>
      </c>
      <c r="D226" s="119">
        <f t="shared" si="68"/>
        <v>427.8649695658201</v>
      </c>
      <c r="E226" s="119">
        <f t="shared" si="69"/>
        <v>923.13503043417995</v>
      </c>
      <c r="F226" s="119">
        <v>1351</v>
      </c>
      <c r="G226" s="120"/>
      <c r="H226" s="120"/>
      <c r="I226" s="119">
        <f t="shared" ref="I226:I234" si="74">I225</f>
        <v>888.28988335792803</v>
      </c>
      <c r="J226" s="120"/>
      <c r="K226" s="119"/>
      <c r="L226" s="119"/>
      <c r="M226" s="119"/>
      <c r="N226" s="119"/>
      <c r="O226" s="119">
        <f t="shared" ref="O226:O236" si="75">I226-D226</f>
        <v>460.42491379210793</v>
      </c>
      <c r="P226" s="119"/>
      <c r="Q226" s="120"/>
    </row>
    <row r="227" spans="1:18" x14ac:dyDescent="0.2">
      <c r="B227" s="123">
        <v>52263</v>
      </c>
      <c r="C227" s="119">
        <f t="shared" si="67"/>
        <v>146616.50964743484</v>
      </c>
      <c r="D227" s="119">
        <f t="shared" si="68"/>
        <v>425.18787797756096</v>
      </c>
      <c r="E227" s="119">
        <f t="shared" si="69"/>
        <v>925.8121220224391</v>
      </c>
      <c r="F227" s="119">
        <v>1351</v>
      </c>
      <c r="G227" s="120"/>
      <c r="H227" s="120"/>
      <c r="I227" s="119">
        <f t="shared" si="74"/>
        <v>888.28988335792803</v>
      </c>
      <c r="J227" s="120"/>
      <c r="K227" s="119"/>
      <c r="L227" s="119"/>
      <c r="M227" s="119"/>
      <c r="N227" s="119"/>
      <c r="O227" s="119">
        <f t="shared" si="75"/>
        <v>463.10200538036707</v>
      </c>
      <c r="P227" s="119"/>
      <c r="Q227" s="120"/>
    </row>
    <row r="228" spans="1:18" x14ac:dyDescent="0.2">
      <c r="B228" s="123">
        <v>52291</v>
      </c>
      <c r="C228" s="119">
        <f t="shared" si="67"/>
        <v>145690.6975254124</v>
      </c>
      <c r="D228" s="119">
        <f t="shared" si="68"/>
        <v>422.50302282369597</v>
      </c>
      <c r="E228" s="119">
        <f t="shared" si="69"/>
        <v>928.49697717630397</v>
      </c>
      <c r="F228" s="119">
        <v>1351</v>
      </c>
      <c r="G228" s="120"/>
      <c r="H228" s="120"/>
      <c r="I228" s="119">
        <f t="shared" si="74"/>
        <v>888.28988335792803</v>
      </c>
      <c r="J228" s="120"/>
      <c r="K228" s="119"/>
      <c r="L228" s="119"/>
      <c r="M228" s="119"/>
      <c r="N228" s="119"/>
      <c r="O228" s="119">
        <f t="shared" si="75"/>
        <v>465.78686053423206</v>
      </c>
      <c r="P228" s="119"/>
      <c r="Q228" s="120"/>
    </row>
    <row r="229" spans="1:18" x14ac:dyDescent="0.2">
      <c r="B229" s="123">
        <v>52322</v>
      </c>
      <c r="C229" s="119">
        <f t="shared" si="67"/>
        <v>144762.20054823608</v>
      </c>
      <c r="D229" s="119">
        <f t="shared" si="68"/>
        <v>419.81038158988463</v>
      </c>
      <c r="E229" s="119">
        <f t="shared" si="69"/>
        <v>931.18961841011537</v>
      </c>
      <c r="F229" s="119">
        <v>1351</v>
      </c>
      <c r="G229" s="120"/>
      <c r="H229" s="120"/>
      <c r="I229" s="119">
        <f t="shared" si="74"/>
        <v>888.28988335792803</v>
      </c>
      <c r="J229" s="120"/>
      <c r="K229" s="119"/>
      <c r="L229" s="119"/>
      <c r="M229" s="119"/>
      <c r="N229" s="119"/>
      <c r="O229" s="119">
        <f t="shared" si="75"/>
        <v>468.47950176804341</v>
      </c>
      <c r="P229" s="119"/>
      <c r="Q229" s="120"/>
    </row>
    <row r="230" spans="1:18" x14ac:dyDescent="0.2">
      <c r="B230" s="123">
        <v>52352</v>
      </c>
      <c r="C230" s="119">
        <f t="shared" si="67"/>
        <v>143831.01092982598</v>
      </c>
      <c r="D230" s="119">
        <f t="shared" si="68"/>
        <v>417.10993169649532</v>
      </c>
      <c r="E230" s="119">
        <f t="shared" si="69"/>
        <v>933.89006830350468</v>
      </c>
      <c r="F230" s="119">
        <v>1351</v>
      </c>
      <c r="G230" s="120"/>
      <c r="H230" s="120"/>
      <c r="I230" s="119">
        <f t="shared" si="74"/>
        <v>888.28988335792803</v>
      </c>
      <c r="J230" s="120"/>
      <c r="K230" s="119"/>
      <c r="L230" s="119"/>
      <c r="M230" s="119"/>
      <c r="N230" s="119"/>
      <c r="O230" s="119">
        <f t="shared" si="75"/>
        <v>471.17995166143271</v>
      </c>
      <c r="P230" s="119"/>
      <c r="Q230" s="120"/>
    </row>
    <row r="231" spans="1:18" x14ac:dyDescent="0.2">
      <c r="B231" s="123">
        <v>52383</v>
      </c>
      <c r="C231" s="119">
        <f t="shared" si="67"/>
        <v>142897.12086152248</v>
      </c>
      <c r="D231" s="119">
        <f t="shared" si="68"/>
        <v>414.40165049841517</v>
      </c>
      <c r="E231" s="119">
        <f t="shared" si="69"/>
        <v>936.59834950158483</v>
      </c>
      <c r="F231" s="119">
        <v>1351</v>
      </c>
      <c r="G231" s="120"/>
      <c r="H231" s="120"/>
      <c r="I231" s="119">
        <f t="shared" si="74"/>
        <v>888.28988335792803</v>
      </c>
      <c r="J231" s="120"/>
      <c r="K231" s="119"/>
      <c r="L231" s="119"/>
      <c r="M231" s="119"/>
      <c r="N231" s="119"/>
      <c r="O231" s="119">
        <f t="shared" si="75"/>
        <v>473.88823285951287</v>
      </c>
      <c r="P231" s="119"/>
      <c r="Q231" s="120"/>
    </row>
    <row r="232" spans="1:18" x14ac:dyDescent="0.2">
      <c r="B232" s="123">
        <v>52413</v>
      </c>
      <c r="C232" s="119">
        <f t="shared" si="67"/>
        <v>141960.52251202089</v>
      </c>
      <c r="D232" s="119">
        <f t="shared" si="68"/>
        <v>411.68551528486051</v>
      </c>
      <c r="E232" s="119">
        <f t="shared" si="69"/>
        <v>939.31448471513954</v>
      </c>
      <c r="F232" s="119">
        <v>1351</v>
      </c>
      <c r="G232" s="120"/>
      <c r="H232" s="120"/>
      <c r="I232" s="119">
        <f t="shared" si="74"/>
        <v>888.28988335792803</v>
      </c>
      <c r="J232" s="120"/>
      <c r="K232" s="119"/>
      <c r="L232" s="119"/>
      <c r="M232" s="119"/>
      <c r="N232" s="119"/>
      <c r="O232" s="119">
        <f t="shared" si="75"/>
        <v>476.60436807306752</v>
      </c>
      <c r="P232" s="119"/>
      <c r="Q232" s="120"/>
    </row>
    <row r="233" spans="1:18" x14ac:dyDescent="0.2">
      <c r="B233" s="123">
        <v>52444</v>
      </c>
      <c r="C233" s="119">
        <f t="shared" si="67"/>
        <v>141021.20802730575</v>
      </c>
      <c r="D233" s="119">
        <f t="shared" si="68"/>
        <v>408.96150327918667</v>
      </c>
      <c r="E233" s="119">
        <f t="shared" si="69"/>
        <v>942.03849672081333</v>
      </c>
      <c r="F233" s="119">
        <v>1351</v>
      </c>
      <c r="G233" s="120"/>
      <c r="H233" s="120"/>
      <c r="I233" s="119">
        <f t="shared" si="74"/>
        <v>888.28988335792803</v>
      </c>
      <c r="J233" s="120"/>
      <c r="K233" s="119"/>
      <c r="L233" s="119"/>
      <c r="M233" s="119"/>
      <c r="N233" s="119"/>
      <c r="O233" s="119">
        <f t="shared" si="75"/>
        <v>479.32838007874136</v>
      </c>
      <c r="P233" s="119"/>
      <c r="Q233" s="120"/>
    </row>
    <row r="234" spans="1:18" x14ac:dyDescent="0.2">
      <c r="B234" s="123">
        <v>52475</v>
      </c>
      <c r="C234" s="119">
        <f t="shared" si="67"/>
        <v>140079.16953058494</v>
      </c>
      <c r="D234" s="119">
        <f t="shared" si="68"/>
        <v>406.22959163869632</v>
      </c>
      <c r="E234" s="119">
        <f t="shared" si="69"/>
        <v>944.77040836130368</v>
      </c>
      <c r="F234" s="119">
        <v>1351</v>
      </c>
      <c r="G234" s="120"/>
      <c r="H234" s="120"/>
      <c r="I234" s="119">
        <f t="shared" si="74"/>
        <v>888.28988335792803</v>
      </c>
      <c r="J234" s="120"/>
      <c r="K234" s="119"/>
      <c r="L234" s="119"/>
      <c r="M234" s="119"/>
      <c r="N234" s="119"/>
      <c r="O234" s="119">
        <f t="shared" si="75"/>
        <v>482.06029171923171</v>
      </c>
      <c r="P234" s="119"/>
      <c r="Q234" s="120"/>
    </row>
    <row r="235" spans="1:18" x14ac:dyDescent="0.2">
      <c r="B235" s="123">
        <v>52505</v>
      </c>
      <c r="C235" s="119">
        <f t="shared" si="67"/>
        <v>139134.39912222364</v>
      </c>
      <c r="D235" s="119">
        <f t="shared" si="68"/>
        <v>403.48975745444847</v>
      </c>
      <c r="E235" s="119">
        <f t="shared" si="69"/>
        <v>947.51024254555159</v>
      </c>
      <c r="F235" s="119">
        <v>1351</v>
      </c>
      <c r="G235" s="120"/>
      <c r="H235" s="120"/>
      <c r="I235" s="119">
        <f t="shared" ref="I235" si="76">I233</f>
        <v>888.28988335792803</v>
      </c>
      <c r="J235" s="120"/>
      <c r="K235" s="119"/>
      <c r="L235" s="119"/>
      <c r="M235" s="119"/>
      <c r="N235" s="119"/>
      <c r="O235" s="125">
        <f t="shared" si="75"/>
        <v>484.80012590347957</v>
      </c>
      <c r="P235" s="119"/>
      <c r="Q235" s="120"/>
    </row>
    <row r="236" spans="1:18" x14ac:dyDescent="0.2">
      <c r="B236" s="123">
        <v>52536</v>
      </c>
      <c r="C236" s="119">
        <f t="shared" si="67"/>
        <v>138186.8888796781</v>
      </c>
      <c r="D236" s="119">
        <f t="shared" si="68"/>
        <v>400.74197775106649</v>
      </c>
      <c r="E236" s="119">
        <f t="shared" si="69"/>
        <v>950.25802224893346</v>
      </c>
      <c r="F236" s="119">
        <v>1351</v>
      </c>
      <c r="G236" s="120"/>
      <c r="H236" s="120"/>
      <c r="I236" s="119">
        <f>I235</f>
        <v>888.28988335792803</v>
      </c>
      <c r="J236" s="120"/>
      <c r="K236" s="119"/>
      <c r="L236" s="119"/>
      <c r="M236" s="119"/>
      <c r="N236" s="119"/>
      <c r="O236" s="125">
        <f t="shared" si="75"/>
        <v>487.54790560686155</v>
      </c>
      <c r="P236" s="119"/>
      <c r="Q236" s="120"/>
    </row>
    <row r="237" spans="1:18" x14ac:dyDescent="0.2">
      <c r="A237">
        <v>18</v>
      </c>
      <c r="B237" s="123">
        <v>52566</v>
      </c>
      <c r="C237" s="119">
        <f t="shared" si="67"/>
        <v>137236.63085742918</v>
      </c>
      <c r="D237" s="119">
        <f t="shared" si="68"/>
        <v>397.98622948654457</v>
      </c>
      <c r="E237" s="119">
        <f t="shared" si="69"/>
        <v>953.01377051345548</v>
      </c>
      <c r="F237" s="119">
        <v>1351</v>
      </c>
      <c r="G237" s="120"/>
      <c r="H237" s="120"/>
      <c r="I237" s="118">
        <f>I236*$A$31</f>
        <v>901.6142316082969</v>
      </c>
      <c r="J237" s="118">
        <f>(I237/$J$2)/0.66</f>
        <v>17.076027113793501</v>
      </c>
      <c r="K237" s="118">
        <f>SUM(E226:E237)</f>
        <v>11256.027590953327</v>
      </c>
      <c r="L237" s="118">
        <f>SUM(I226:I237)-SUM(D226:D237)</f>
        <v>5716.8305394988311</v>
      </c>
      <c r="M237" s="118"/>
      <c r="N237" s="118">
        <v>2500</v>
      </c>
      <c r="O237" s="119">
        <f>I237-D237</f>
        <v>503.62800212175233</v>
      </c>
      <c r="P237" s="118">
        <f>SUM(O226:O237)+M237+N237</f>
        <v>8216.8305394988311</v>
      </c>
      <c r="Q237" s="118">
        <f>L237+M237+N237</f>
        <v>8216.8305394988311</v>
      </c>
    </row>
    <row r="238" spans="1:18" x14ac:dyDescent="0.2">
      <c r="B238" s="123">
        <v>52597</v>
      </c>
      <c r="C238" s="119">
        <f t="shared" si="67"/>
        <v>136283.61708691571</v>
      </c>
      <c r="D238" s="119">
        <f t="shared" si="68"/>
        <v>395.22248955205555</v>
      </c>
      <c r="E238" s="119">
        <f t="shared" si="69"/>
        <v>955.77751044794445</v>
      </c>
      <c r="F238" s="119">
        <v>1351</v>
      </c>
      <c r="G238" s="120"/>
      <c r="H238" s="120"/>
      <c r="I238" s="119">
        <f t="shared" ref="I238:I246" si="77">I237</f>
        <v>901.6142316082969</v>
      </c>
      <c r="J238" s="120"/>
      <c r="K238" s="119"/>
      <c r="L238" s="119"/>
      <c r="M238" s="119"/>
      <c r="N238" s="119"/>
      <c r="O238" s="119">
        <f t="shared" ref="O238:O248" si="78">I238-D238</f>
        <v>506.39174205624136</v>
      </c>
      <c r="P238" s="119"/>
      <c r="Q238" s="120"/>
    </row>
    <row r="239" spans="1:18" x14ac:dyDescent="0.2">
      <c r="B239" s="123">
        <v>52628</v>
      </c>
      <c r="C239" s="119">
        <f t="shared" si="67"/>
        <v>135327.83957646776</v>
      </c>
      <c r="D239" s="119">
        <f t="shared" si="68"/>
        <v>392.45073477175646</v>
      </c>
      <c r="E239" s="119">
        <f t="shared" si="69"/>
        <v>958.54926522824348</v>
      </c>
      <c r="F239" s="119">
        <v>1351</v>
      </c>
      <c r="G239" s="120"/>
      <c r="H239" s="120"/>
      <c r="I239" s="119">
        <f t="shared" si="77"/>
        <v>901.6142316082969</v>
      </c>
      <c r="J239" s="120"/>
      <c r="K239" s="119"/>
      <c r="L239" s="119"/>
      <c r="M239" s="119"/>
      <c r="N239" s="119"/>
      <c r="O239" s="119">
        <f t="shared" si="78"/>
        <v>509.16349683654045</v>
      </c>
      <c r="P239" s="119"/>
      <c r="Q239" s="120"/>
    </row>
    <row r="240" spans="1:18" x14ac:dyDescent="0.2">
      <c r="B240" s="123">
        <v>52657</v>
      </c>
      <c r="C240" s="119">
        <f t="shared" si="67"/>
        <v>134369.29031123951</v>
      </c>
      <c r="D240" s="119">
        <f t="shared" si="68"/>
        <v>389.67094190259462</v>
      </c>
      <c r="E240" s="119">
        <f t="shared" si="69"/>
        <v>961.32905809740532</v>
      </c>
      <c r="F240" s="119">
        <v>1351</v>
      </c>
      <c r="G240" s="120"/>
      <c r="H240" s="120"/>
      <c r="I240" s="119">
        <f t="shared" si="77"/>
        <v>901.6142316082969</v>
      </c>
      <c r="J240" s="120"/>
      <c r="K240" s="119"/>
      <c r="L240" s="119"/>
      <c r="M240" s="119"/>
      <c r="N240" s="119"/>
      <c r="O240" s="119">
        <f t="shared" si="78"/>
        <v>511.94328970570228</v>
      </c>
      <c r="P240" s="119"/>
      <c r="Q240" s="120"/>
    </row>
    <row r="241" spans="1:17" x14ac:dyDescent="0.2">
      <c r="B241" s="123">
        <v>52688</v>
      </c>
      <c r="C241" s="119">
        <f t="shared" si="67"/>
        <v>133407.9612531421</v>
      </c>
      <c r="D241" s="119">
        <f t="shared" si="68"/>
        <v>386.88308763411209</v>
      </c>
      <c r="E241" s="119">
        <f t="shared" si="69"/>
        <v>964.11691236588786</v>
      </c>
      <c r="F241" s="119">
        <v>1351</v>
      </c>
      <c r="G241" s="120"/>
      <c r="H241" s="120"/>
      <c r="I241" s="119">
        <f t="shared" si="77"/>
        <v>901.6142316082969</v>
      </c>
      <c r="J241" s="120"/>
      <c r="K241" s="119"/>
      <c r="L241" s="119"/>
      <c r="M241" s="119"/>
      <c r="N241" s="119"/>
      <c r="O241" s="119">
        <f t="shared" si="78"/>
        <v>514.73114397418476</v>
      </c>
      <c r="P241" s="119"/>
      <c r="Q241" s="120"/>
    </row>
    <row r="242" spans="1:17" x14ac:dyDescent="0.2">
      <c r="B242" s="123">
        <v>52718</v>
      </c>
      <c r="C242" s="119">
        <f t="shared" si="67"/>
        <v>132443.84434077621</v>
      </c>
      <c r="D242" s="119">
        <f t="shared" si="68"/>
        <v>384.08714858825101</v>
      </c>
      <c r="E242" s="119">
        <f t="shared" si="69"/>
        <v>966.91285141174899</v>
      </c>
      <c r="F242" s="119">
        <v>1351</v>
      </c>
      <c r="G242" s="120"/>
      <c r="H242" s="120"/>
      <c r="I242" s="119">
        <f t="shared" si="77"/>
        <v>901.6142316082969</v>
      </c>
      <c r="J242" s="120"/>
      <c r="K242" s="119"/>
      <c r="L242" s="119"/>
      <c r="M242" s="119"/>
      <c r="N242" s="119"/>
      <c r="O242" s="119">
        <f t="shared" si="78"/>
        <v>517.52708302004589</v>
      </c>
      <c r="P242" s="119"/>
      <c r="Q242" s="120"/>
    </row>
    <row r="243" spans="1:17" x14ac:dyDescent="0.2">
      <c r="B243" s="123">
        <v>52749</v>
      </c>
      <c r="C243" s="119">
        <f t="shared" si="67"/>
        <v>131476.93148936445</v>
      </c>
      <c r="D243" s="119">
        <f t="shared" si="68"/>
        <v>381.28310131915686</v>
      </c>
      <c r="E243" s="119">
        <f t="shared" si="69"/>
        <v>969.71689868084309</v>
      </c>
      <c r="F243" s="119">
        <v>1351</v>
      </c>
      <c r="G243" s="120"/>
      <c r="H243" s="120"/>
      <c r="I243" s="119">
        <f t="shared" si="77"/>
        <v>901.6142316082969</v>
      </c>
      <c r="J243" s="120"/>
      <c r="K243" s="119"/>
      <c r="L243" s="119"/>
      <c r="M243" s="119"/>
      <c r="N243" s="119"/>
      <c r="O243" s="119">
        <f t="shared" si="78"/>
        <v>520.33113028913999</v>
      </c>
      <c r="P243" s="119"/>
      <c r="Q243" s="120"/>
    </row>
    <row r="244" spans="1:17" x14ac:dyDescent="0.2">
      <c r="B244" s="123">
        <v>52779</v>
      </c>
      <c r="C244" s="119">
        <f t="shared" si="67"/>
        <v>130507.21459068361</v>
      </c>
      <c r="D244" s="119">
        <f t="shared" si="68"/>
        <v>378.4709223129824</v>
      </c>
      <c r="E244" s="119">
        <f t="shared" si="69"/>
        <v>972.52907768701766</v>
      </c>
      <c r="F244" s="119">
        <v>1351</v>
      </c>
      <c r="G244" s="120"/>
      <c r="H244" s="120"/>
      <c r="I244" s="119">
        <f t="shared" si="77"/>
        <v>901.6142316082969</v>
      </c>
      <c r="J244" s="120"/>
      <c r="K244" s="119"/>
      <c r="L244" s="119"/>
      <c r="M244" s="119"/>
      <c r="N244" s="119"/>
      <c r="O244" s="119">
        <f t="shared" si="78"/>
        <v>523.14330929531457</v>
      </c>
      <c r="P244" s="119"/>
      <c r="Q244" s="120"/>
    </row>
    <row r="245" spans="1:17" x14ac:dyDescent="0.2">
      <c r="B245" s="123">
        <v>52810</v>
      </c>
      <c r="C245" s="119">
        <f t="shared" si="67"/>
        <v>129534.68551299658</v>
      </c>
      <c r="D245" s="119">
        <f t="shared" si="68"/>
        <v>375.65058798769002</v>
      </c>
      <c r="E245" s="119">
        <f t="shared" si="69"/>
        <v>975.34941201231004</v>
      </c>
      <c r="F245" s="119">
        <v>1351</v>
      </c>
      <c r="G245" s="120"/>
      <c r="H245" s="120"/>
      <c r="I245" s="119">
        <f t="shared" si="77"/>
        <v>901.6142316082969</v>
      </c>
      <c r="J245" s="120"/>
      <c r="K245" s="119"/>
      <c r="L245" s="119"/>
      <c r="M245" s="119"/>
      <c r="N245" s="119"/>
      <c r="O245" s="119">
        <f t="shared" si="78"/>
        <v>525.96364362060694</v>
      </c>
      <c r="P245" s="119"/>
      <c r="Q245" s="120"/>
    </row>
    <row r="246" spans="1:17" x14ac:dyDescent="0.2">
      <c r="B246" s="123">
        <v>52841</v>
      </c>
      <c r="C246" s="119">
        <f t="shared" si="67"/>
        <v>128559.33610098428</v>
      </c>
      <c r="D246" s="119">
        <f t="shared" si="68"/>
        <v>372.82207469285436</v>
      </c>
      <c r="E246" s="119">
        <f t="shared" si="69"/>
        <v>978.17792530714564</v>
      </c>
      <c r="F246" s="119">
        <v>1351</v>
      </c>
      <c r="G246" s="120"/>
      <c r="H246" s="120"/>
      <c r="I246" s="119">
        <f t="shared" si="77"/>
        <v>901.6142316082969</v>
      </c>
      <c r="J246" s="120"/>
      <c r="K246" s="119"/>
      <c r="L246" s="119"/>
      <c r="M246" s="119"/>
      <c r="N246" s="119"/>
      <c r="O246" s="119">
        <f t="shared" si="78"/>
        <v>528.79215691544255</v>
      </c>
      <c r="P246" s="119"/>
      <c r="Q246" s="120"/>
    </row>
    <row r="247" spans="1:17" x14ac:dyDescent="0.2">
      <c r="B247" s="123">
        <v>52871</v>
      </c>
      <c r="C247" s="119">
        <f t="shared" si="67"/>
        <v>127581.15817567713</v>
      </c>
      <c r="D247" s="119">
        <f t="shared" si="68"/>
        <v>369.9853587094637</v>
      </c>
      <c r="E247" s="119">
        <f t="shared" si="69"/>
        <v>981.01464129053625</v>
      </c>
      <c r="F247" s="119">
        <v>1351</v>
      </c>
      <c r="G247" s="120"/>
      <c r="H247" s="120"/>
      <c r="I247" s="119">
        <f t="shared" ref="I247" si="79">I245</f>
        <v>901.6142316082969</v>
      </c>
      <c r="J247" s="120"/>
      <c r="K247" s="119"/>
      <c r="L247" s="119"/>
      <c r="M247" s="119"/>
      <c r="N247" s="119"/>
      <c r="O247" s="125">
        <f t="shared" si="78"/>
        <v>531.62887289883315</v>
      </c>
      <c r="P247" s="119"/>
      <c r="Q247" s="120"/>
    </row>
    <row r="248" spans="1:17" x14ac:dyDescent="0.2">
      <c r="B248" s="123">
        <v>52902</v>
      </c>
      <c r="C248" s="119">
        <f t="shared" si="67"/>
        <v>126600.1435343866</v>
      </c>
      <c r="D248" s="119">
        <f t="shared" si="68"/>
        <v>367.14041624972111</v>
      </c>
      <c r="E248" s="119">
        <f t="shared" si="69"/>
        <v>983.85958375027894</v>
      </c>
      <c r="F248" s="119">
        <v>1351</v>
      </c>
      <c r="G248" s="120"/>
      <c r="H248" s="120"/>
      <c r="I248" s="119">
        <f>I247</f>
        <v>901.6142316082969</v>
      </c>
      <c r="J248" s="120"/>
      <c r="K248" s="119"/>
      <c r="L248" s="119"/>
      <c r="M248" s="119"/>
      <c r="N248" s="119"/>
      <c r="O248" s="125">
        <f t="shared" si="78"/>
        <v>534.47381535857585</v>
      </c>
      <c r="P248" s="119"/>
      <c r="Q248" s="120"/>
    </row>
    <row r="249" spans="1:17" x14ac:dyDescent="0.2">
      <c r="A249">
        <v>19</v>
      </c>
      <c r="B249" s="123">
        <v>52932</v>
      </c>
      <c r="C249" s="119">
        <f t="shared" si="67"/>
        <v>125616.28395063632</v>
      </c>
      <c r="D249" s="119">
        <f t="shared" si="68"/>
        <v>364.28722345684531</v>
      </c>
      <c r="E249" s="119">
        <f t="shared" si="69"/>
        <v>986.71277654315463</v>
      </c>
      <c r="F249" s="119">
        <v>1351</v>
      </c>
      <c r="G249" s="120"/>
      <c r="H249" s="120"/>
      <c r="I249" s="118">
        <f>I248*$A$31</f>
        <v>915.1384450824213</v>
      </c>
      <c r="J249" s="118">
        <f>(I249/$J$2)/0.66</f>
        <v>17.332167520500402</v>
      </c>
      <c r="K249" s="118">
        <f>SUM(E238:E249)</f>
        <v>11654.045912822516</v>
      </c>
      <c r="L249" s="118">
        <f>SUM(I238:I249)-SUM(D238:D249)</f>
        <v>6274.9409055962033</v>
      </c>
      <c r="M249" s="118"/>
      <c r="N249" s="118">
        <v>2500</v>
      </c>
      <c r="O249" s="119">
        <f>I249-D249</f>
        <v>550.85122162557604</v>
      </c>
      <c r="P249" s="118">
        <f>SUM(O238:O249)+M249+N249</f>
        <v>8774.9409055962024</v>
      </c>
      <c r="Q249" s="118">
        <f>L249+M249+N249</f>
        <v>8774.9409055962024</v>
      </c>
    </row>
    <row r="250" spans="1:17" x14ac:dyDescent="0.2">
      <c r="B250" s="123">
        <v>52963</v>
      </c>
      <c r="C250" s="119">
        <f t="shared" si="67"/>
        <v>124629.57117409317</v>
      </c>
      <c r="D250" s="119">
        <f t="shared" si="68"/>
        <v>361.42575640487013</v>
      </c>
      <c r="E250" s="119">
        <f t="shared" si="69"/>
        <v>989.57424359512993</v>
      </c>
      <c r="F250" s="119">
        <v>1351</v>
      </c>
      <c r="G250" s="120"/>
      <c r="H250" s="120"/>
      <c r="I250" s="119">
        <f t="shared" ref="I250:I258" si="80">I249</f>
        <v>915.1384450824213</v>
      </c>
      <c r="J250" s="120"/>
      <c r="K250" s="119"/>
      <c r="L250" s="119"/>
      <c r="M250" s="119"/>
      <c r="N250" s="119"/>
      <c r="O250" s="119">
        <f t="shared" ref="O250:O260" si="81">I250-D250</f>
        <v>553.71268867755111</v>
      </c>
      <c r="P250" s="119"/>
      <c r="Q250" s="120"/>
    </row>
    <row r="251" spans="1:17" x14ac:dyDescent="0.2">
      <c r="B251" s="123">
        <v>52994</v>
      </c>
      <c r="C251" s="119">
        <f t="shared" si="67"/>
        <v>123639.99693049805</v>
      </c>
      <c r="D251" s="119">
        <f t="shared" si="68"/>
        <v>358.55599109844434</v>
      </c>
      <c r="E251" s="119">
        <f t="shared" si="69"/>
        <v>992.44400890155566</v>
      </c>
      <c r="F251" s="119">
        <v>1351</v>
      </c>
      <c r="G251" s="120"/>
      <c r="H251" s="120"/>
      <c r="I251" s="119">
        <f t="shared" si="80"/>
        <v>915.1384450824213</v>
      </c>
      <c r="J251" s="120"/>
      <c r="K251" s="119"/>
      <c r="L251" s="119"/>
      <c r="M251" s="119"/>
      <c r="N251" s="119"/>
      <c r="O251" s="119">
        <f t="shared" si="81"/>
        <v>556.58245398397696</v>
      </c>
      <c r="P251" s="119"/>
      <c r="Q251" s="120"/>
    </row>
    <row r="252" spans="1:17" x14ac:dyDescent="0.2">
      <c r="B252" s="123">
        <v>53022</v>
      </c>
      <c r="C252" s="119">
        <f t="shared" si="67"/>
        <v>122647.55292159649</v>
      </c>
      <c r="D252" s="119">
        <f t="shared" si="68"/>
        <v>355.67790347262979</v>
      </c>
      <c r="E252" s="119">
        <f t="shared" si="69"/>
        <v>995.32209652737015</v>
      </c>
      <c r="F252" s="119">
        <v>1351</v>
      </c>
      <c r="G252" s="120"/>
      <c r="H252" s="120"/>
      <c r="I252" s="119">
        <f t="shared" si="80"/>
        <v>915.1384450824213</v>
      </c>
      <c r="J252" s="120"/>
      <c r="K252" s="119"/>
      <c r="L252" s="119"/>
      <c r="M252" s="119"/>
      <c r="N252" s="119"/>
      <c r="O252" s="119">
        <f t="shared" si="81"/>
        <v>559.46054160979156</v>
      </c>
      <c r="P252" s="119"/>
      <c r="Q252" s="120"/>
    </row>
    <row r="253" spans="1:17" x14ac:dyDescent="0.2">
      <c r="B253" s="123">
        <v>53053</v>
      </c>
      <c r="C253" s="119">
        <f t="shared" si="67"/>
        <v>121652.23082506913</v>
      </c>
      <c r="D253" s="119">
        <f t="shared" si="68"/>
        <v>352.79146939270044</v>
      </c>
      <c r="E253" s="119">
        <f t="shared" si="69"/>
        <v>998.20853060729951</v>
      </c>
      <c r="F253" s="119">
        <v>1351</v>
      </c>
      <c r="G253" s="120"/>
      <c r="H253" s="120"/>
      <c r="I253" s="119">
        <f t="shared" si="80"/>
        <v>915.1384450824213</v>
      </c>
      <c r="J253" s="120"/>
      <c r="K253" s="119"/>
      <c r="L253" s="119"/>
      <c r="M253" s="119"/>
      <c r="N253" s="119"/>
      <c r="O253" s="119">
        <f t="shared" si="81"/>
        <v>562.34697568972092</v>
      </c>
      <c r="P253" s="119"/>
      <c r="Q253" s="120"/>
    </row>
    <row r="254" spans="1:17" x14ac:dyDescent="0.2">
      <c r="B254" s="123">
        <v>53083</v>
      </c>
      <c r="C254" s="119">
        <f t="shared" si="67"/>
        <v>120654.02229446183</v>
      </c>
      <c r="D254" s="119">
        <f t="shared" si="68"/>
        <v>349.8966646539393</v>
      </c>
      <c r="E254" s="119">
        <f t="shared" si="69"/>
        <v>1001.1033353460607</v>
      </c>
      <c r="F254" s="119">
        <v>1351</v>
      </c>
      <c r="G254" s="120"/>
      <c r="H254" s="120"/>
      <c r="I254" s="119">
        <f t="shared" si="80"/>
        <v>915.1384450824213</v>
      </c>
      <c r="J254" s="120"/>
      <c r="K254" s="119"/>
      <c r="L254" s="119"/>
      <c r="M254" s="119"/>
      <c r="N254" s="119"/>
      <c r="O254" s="119">
        <f t="shared" si="81"/>
        <v>565.241780428482</v>
      </c>
      <c r="P254" s="119"/>
      <c r="Q254" s="120"/>
    </row>
    <row r="255" spans="1:17" x14ac:dyDescent="0.2">
      <c r="B255" s="123">
        <v>53114</v>
      </c>
      <c r="C255" s="119">
        <f t="shared" si="67"/>
        <v>119652.91895911576</v>
      </c>
      <c r="D255" s="119">
        <f t="shared" si="68"/>
        <v>346.99346498143569</v>
      </c>
      <c r="E255" s="119">
        <f t="shared" si="69"/>
        <v>1004.0065350185644</v>
      </c>
      <c r="F255" s="119">
        <v>1351</v>
      </c>
      <c r="G255" s="120"/>
      <c r="H255" s="120"/>
      <c r="I255" s="119">
        <f t="shared" si="80"/>
        <v>915.1384450824213</v>
      </c>
      <c r="J255" s="120"/>
      <c r="K255" s="119"/>
      <c r="L255" s="119"/>
      <c r="M255" s="119"/>
      <c r="N255" s="119"/>
      <c r="O255" s="119">
        <f t="shared" si="81"/>
        <v>568.14498010098555</v>
      </c>
      <c r="P255" s="119"/>
      <c r="Q255" s="120"/>
    </row>
    <row r="256" spans="1:17" x14ac:dyDescent="0.2">
      <c r="B256" s="123">
        <v>53144</v>
      </c>
      <c r="C256" s="119">
        <f t="shared" si="67"/>
        <v>118648.9124240972</v>
      </c>
      <c r="D256" s="119">
        <f t="shared" si="68"/>
        <v>344.08184602988189</v>
      </c>
      <c r="E256" s="119">
        <f t="shared" si="69"/>
        <v>1006.9181539701181</v>
      </c>
      <c r="F256" s="119">
        <v>1351</v>
      </c>
      <c r="G256" s="120"/>
      <c r="H256" s="120"/>
      <c r="I256" s="119">
        <f t="shared" si="80"/>
        <v>915.1384450824213</v>
      </c>
      <c r="J256" s="120"/>
      <c r="K256" s="119"/>
      <c r="L256" s="119"/>
      <c r="M256" s="119"/>
      <c r="N256" s="119"/>
      <c r="O256" s="119">
        <f t="shared" si="81"/>
        <v>571.05659905253947</v>
      </c>
      <c r="P256" s="119"/>
      <c r="Q256" s="120"/>
    </row>
    <row r="257" spans="1:17" x14ac:dyDescent="0.2">
      <c r="B257" s="123">
        <v>53175</v>
      </c>
      <c r="C257" s="119">
        <f t="shared" si="67"/>
        <v>117641.99427012708</v>
      </c>
      <c r="D257" s="119">
        <f t="shared" si="68"/>
        <v>341.16178338336852</v>
      </c>
      <c r="E257" s="119">
        <f t="shared" si="69"/>
        <v>1009.8382166166315</v>
      </c>
      <c r="F257" s="119">
        <v>1351</v>
      </c>
      <c r="G257" s="120"/>
      <c r="H257" s="120"/>
      <c r="I257" s="119">
        <f t="shared" si="80"/>
        <v>915.1384450824213</v>
      </c>
      <c r="J257" s="120"/>
      <c r="K257" s="119"/>
      <c r="L257" s="119"/>
      <c r="M257" s="119"/>
      <c r="N257" s="119"/>
      <c r="O257" s="119">
        <f t="shared" si="81"/>
        <v>573.97666169905278</v>
      </c>
      <c r="P257" s="119"/>
      <c r="Q257" s="120"/>
    </row>
    <row r="258" spans="1:17" x14ac:dyDescent="0.2">
      <c r="B258" s="123">
        <v>53206</v>
      </c>
      <c r="C258" s="119">
        <f t="shared" si="67"/>
        <v>116632.15605351045</v>
      </c>
      <c r="D258" s="119">
        <f t="shared" si="68"/>
        <v>338.23325255518029</v>
      </c>
      <c r="E258" s="119">
        <f t="shared" si="69"/>
        <v>1012.7667474448197</v>
      </c>
      <c r="F258" s="119">
        <v>1351</v>
      </c>
      <c r="G258" s="120"/>
      <c r="H258" s="120"/>
      <c r="I258" s="119">
        <f t="shared" si="80"/>
        <v>915.1384450824213</v>
      </c>
      <c r="J258" s="120"/>
      <c r="K258" s="119"/>
      <c r="L258" s="119"/>
      <c r="M258" s="119"/>
      <c r="N258" s="119"/>
      <c r="O258" s="119">
        <f t="shared" si="81"/>
        <v>576.90519252724107</v>
      </c>
      <c r="P258" s="119"/>
      <c r="Q258" s="120"/>
    </row>
    <row r="259" spans="1:17" x14ac:dyDescent="0.2">
      <c r="B259" s="123">
        <v>53236</v>
      </c>
      <c r="C259" s="119">
        <f t="shared" si="67"/>
        <v>115619.38930606563</v>
      </c>
      <c r="D259" s="119">
        <f t="shared" si="68"/>
        <v>335.29622898759027</v>
      </c>
      <c r="E259" s="119">
        <f t="shared" si="69"/>
        <v>1015.7037710124098</v>
      </c>
      <c r="F259" s="119">
        <v>1351</v>
      </c>
      <c r="G259" s="120"/>
      <c r="H259" s="120"/>
      <c r="I259" s="119">
        <f t="shared" ref="I259" si="82">I257</f>
        <v>915.1384450824213</v>
      </c>
      <c r="J259" s="120"/>
      <c r="K259" s="119"/>
      <c r="L259" s="119"/>
      <c r="M259" s="119"/>
      <c r="N259" s="119"/>
      <c r="O259" s="125">
        <f t="shared" si="81"/>
        <v>579.84221609483097</v>
      </c>
      <c r="P259" s="119"/>
      <c r="Q259" s="120"/>
    </row>
    <row r="260" spans="1:17" x14ac:dyDescent="0.2">
      <c r="B260" s="123">
        <v>53267</v>
      </c>
      <c r="C260" s="119">
        <f t="shared" si="67"/>
        <v>114603.68553505321</v>
      </c>
      <c r="D260" s="119">
        <f t="shared" si="68"/>
        <v>332.35068805165429</v>
      </c>
      <c r="E260" s="119">
        <f t="shared" si="69"/>
        <v>1018.6493119483457</v>
      </c>
      <c r="F260" s="119">
        <v>1351</v>
      </c>
      <c r="G260" s="120"/>
      <c r="H260" s="120"/>
      <c r="I260" s="119">
        <f>I259</f>
        <v>915.1384450824213</v>
      </c>
      <c r="J260" s="120"/>
      <c r="K260" s="119"/>
      <c r="L260" s="119"/>
      <c r="M260" s="119"/>
      <c r="N260" s="119"/>
      <c r="O260" s="125">
        <f t="shared" si="81"/>
        <v>582.78775703076701</v>
      </c>
      <c r="P260" s="119"/>
      <c r="Q260" s="120"/>
    </row>
    <row r="261" spans="1:17" x14ac:dyDescent="0.2">
      <c r="A261">
        <v>20</v>
      </c>
      <c r="B261" s="123">
        <v>53297</v>
      </c>
      <c r="C261" s="119">
        <f t="shared" si="67"/>
        <v>113585.03622310486</v>
      </c>
      <c r="D261" s="119">
        <f t="shared" si="68"/>
        <v>329.39660504700407</v>
      </c>
      <c r="E261" s="119">
        <f t="shared" si="69"/>
        <v>1021.6033949529959</v>
      </c>
      <c r="F261" s="119">
        <v>1351</v>
      </c>
      <c r="G261" s="120"/>
      <c r="H261" s="120"/>
      <c r="I261" s="118">
        <f>I260*$A$31</f>
        <v>928.86552175865756</v>
      </c>
      <c r="J261" s="118">
        <f>(I261/$J$2)/0.66</f>
        <v>17.592150033307909</v>
      </c>
      <c r="K261" s="118">
        <f>SUM(E250:E261)</f>
        <v>12066.138345941299</v>
      </c>
      <c r="L261" s="118">
        <f>SUM(I250:I261)-SUM(D250:D261)</f>
        <v>6849.5267636065928</v>
      </c>
      <c r="M261" s="118"/>
      <c r="N261" s="118">
        <v>2500</v>
      </c>
      <c r="O261" s="119">
        <f>I261-D261</f>
        <v>599.46891671165349</v>
      </c>
      <c r="P261" s="118">
        <f>SUM(O250:O261)+M261+N261</f>
        <v>9349.5267636065928</v>
      </c>
      <c r="Q261" s="118">
        <f>L261+M261+N261</f>
        <v>9349.5267636065928</v>
      </c>
    </row>
    <row r="262" spans="1:17" x14ac:dyDescent="0.2">
      <c r="B262" s="123">
        <v>53328</v>
      </c>
      <c r="C262" s="119">
        <f t="shared" si="67"/>
        <v>112563.43282815187</v>
      </c>
      <c r="D262" s="119">
        <f t="shared" si="68"/>
        <v>326.4339552016404</v>
      </c>
      <c r="E262" s="119">
        <f t="shared" si="69"/>
        <v>1024.5660447983596</v>
      </c>
      <c r="F262" s="119">
        <v>1351</v>
      </c>
      <c r="G262" s="120"/>
      <c r="H262" s="120"/>
      <c r="I262" s="119">
        <f t="shared" ref="I262:I270" si="83">I261</f>
        <v>928.86552175865756</v>
      </c>
      <c r="J262" s="120"/>
      <c r="K262" s="119"/>
      <c r="L262" s="119"/>
      <c r="M262" s="119"/>
      <c r="N262" s="119"/>
      <c r="O262" s="119">
        <f t="shared" ref="O262:O272" si="84">I262-D262</f>
        <v>602.43156655701716</v>
      </c>
      <c r="P262" s="119"/>
      <c r="Q262" s="120"/>
    </row>
    <row r="263" spans="1:17" x14ac:dyDescent="0.2">
      <c r="B263" s="123">
        <v>53359</v>
      </c>
      <c r="C263" s="119">
        <f t="shared" si="67"/>
        <v>111538.86678335351</v>
      </c>
      <c r="D263" s="119">
        <f t="shared" si="68"/>
        <v>323.46271367172517</v>
      </c>
      <c r="E263" s="119">
        <f t="shared" si="69"/>
        <v>1027.5372863282748</v>
      </c>
      <c r="F263" s="119">
        <v>1351</v>
      </c>
      <c r="G263" s="120"/>
      <c r="H263" s="120"/>
      <c r="I263" s="119">
        <f t="shared" si="83"/>
        <v>928.86552175865756</v>
      </c>
      <c r="J263" s="120"/>
      <c r="K263" s="119"/>
      <c r="L263" s="119"/>
      <c r="M263" s="119"/>
      <c r="N263" s="119"/>
      <c r="O263" s="119">
        <f t="shared" si="84"/>
        <v>605.4028080869324</v>
      </c>
      <c r="P263" s="119"/>
      <c r="Q263" s="120"/>
    </row>
    <row r="264" spans="1:17" x14ac:dyDescent="0.2">
      <c r="B264" s="123">
        <v>53387</v>
      </c>
      <c r="C264" s="119">
        <f t="shared" si="67"/>
        <v>110511.32949702525</v>
      </c>
      <c r="D264" s="119">
        <f t="shared" si="68"/>
        <v>320.48285554137323</v>
      </c>
      <c r="E264" s="119">
        <f t="shared" si="69"/>
        <v>1030.5171444586267</v>
      </c>
      <c r="F264" s="119">
        <v>1351</v>
      </c>
      <c r="G264" s="120"/>
      <c r="H264" s="120"/>
      <c r="I264" s="119">
        <f t="shared" si="83"/>
        <v>928.86552175865756</v>
      </c>
      <c r="J264" s="120"/>
      <c r="K264" s="119"/>
      <c r="L264" s="119"/>
      <c r="M264" s="119"/>
      <c r="N264" s="119"/>
      <c r="O264" s="119">
        <f t="shared" si="84"/>
        <v>608.3826662172844</v>
      </c>
      <c r="P264" s="119"/>
      <c r="Q264" s="120"/>
    </row>
    <row r="265" spans="1:17" x14ac:dyDescent="0.2">
      <c r="B265" s="123">
        <v>53418</v>
      </c>
      <c r="C265" s="119">
        <f t="shared" si="67"/>
        <v>109480.81235256662</v>
      </c>
      <c r="D265" s="119">
        <f t="shared" si="68"/>
        <v>317.4943558224432</v>
      </c>
      <c r="E265" s="119">
        <f t="shared" si="69"/>
        <v>1033.5056441775569</v>
      </c>
      <c r="F265" s="119">
        <v>1351</v>
      </c>
      <c r="G265" s="120"/>
      <c r="H265" s="120"/>
      <c r="I265" s="119">
        <f t="shared" si="83"/>
        <v>928.86552175865756</v>
      </c>
      <c r="J265" s="120"/>
      <c r="K265" s="119"/>
      <c r="L265" s="119"/>
      <c r="M265" s="119"/>
      <c r="N265" s="119"/>
      <c r="O265" s="119">
        <f t="shared" si="84"/>
        <v>611.37116593621431</v>
      </c>
      <c r="P265" s="119"/>
      <c r="Q265" s="120"/>
    </row>
    <row r="266" spans="1:17" x14ac:dyDescent="0.2">
      <c r="B266" s="123">
        <v>53448</v>
      </c>
      <c r="C266" s="119">
        <f t="shared" si="67"/>
        <v>108447.30670838906</v>
      </c>
      <c r="D266" s="119">
        <f t="shared" si="68"/>
        <v>314.49718945432829</v>
      </c>
      <c r="E266" s="119">
        <f t="shared" si="69"/>
        <v>1036.5028105456718</v>
      </c>
      <c r="F266" s="119">
        <v>1351</v>
      </c>
      <c r="G266" s="120"/>
      <c r="H266" s="120"/>
      <c r="I266" s="119">
        <f t="shared" si="83"/>
        <v>928.86552175865756</v>
      </c>
      <c r="J266" s="120"/>
      <c r="K266" s="119"/>
      <c r="L266" s="119"/>
      <c r="M266" s="119"/>
      <c r="N266" s="119"/>
      <c r="O266" s="119">
        <f t="shared" si="84"/>
        <v>614.36833230432921</v>
      </c>
      <c r="P266" s="119"/>
      <c r="Q266" s="120"/>
    </row>
    <row r="267" spans="1:17" x14ac:dyDescent="0.2">
      <c r="B267" s="123">
        <v>53479</v>
      </c>
      <c r="C267" s="119">
        <f t="shared" si="67"/>
        <v>107410.80389784339</v>
      </c>
      <c r="D267" s="119">
        <f t="shared" si="68"/>
        <v>311.49133130374582</v>
      </c>
      <c r="E267" s="119">
        <f t="shared" si="69"/>
        <v>1039.5086686962541</v>
      </c>
      <c r="F267" s="119">
        <v>1351</v>
      </c>
      <c r="G267" s="120"/>
      <c r="H267" s="120"/>
      <c r="I267" s="119">
        <f t="shared" si="83"/>
        <v>928.86552175865756</v>
      </c>
      <c r="J267" s="120"/>
      <c r="K267" s="119"/>
      <c r="L267" s="119"/>
      <c r="M267" s="119"/>
      <c r="N267" s="119"/>
      <c r="O267" s="119">
        <f t="shared" si="84"/>
        <v>617.37419045491174</v>
      </c>
      <c r="P267" s="119"/>
      <c r="Q267" s="120"/>
    </row>
    <row r="268" spans="1:17" x14ac:dyDescent="0.2">
      <c r="B268" s="123">
        <v>53509</v>
      </c>
      <c r="C268" s="119">
        <f t="shared" si="67"/>
        <v>106371.29522914713</v>
      </c>
      <c r="D268" s="119">
        <f t="shared" si="68"/>
        <v>308.47675616452665</v>
      </c>
      <c r="E268" s="119">
        <f t="shared" si="69"/>
        <v>1042.5232438354733</v>
      </c>
      <c r="F268" s="119">
        <v>1351</v>
      </c>
      <c r="G268" s="120"/>
      <c r="H268" s="120"/>
      <c r="I268" s="119">
        <f t="shared" si="83"/>
        <v>928.86552175865756</v>
      </c>
      <c r="J268" s="120"/>
      <c r="K268" s="119"/>
      <c r="L268" s="119"/>
      <c r="M268" s="119"/>
      <c r="N268" s="119"/>
      <c r="O268" s="119">
        <f t="shared" si="84"/>
        <v>620.38876559413097</v>
      </c>
      <c r="P268" s="119"/>
      <c r="Q268" s="120"/>
    </row>
    <row r="269" spans="1:17" x14ac:dyDescent="0.2">
      <c r="B269" s="123">
        <v>53540</v>
      </c>
      <c r="C269" s="119">
        <f t="shared" si="67"/>
        <v>105328.77198531166</v>
      </c>
      <c r="D269" s="119">
        <f t="shared" si="68"/>
        <v>305.45343875740377</v>
      </c>
      <c r="E269" s="119">
        <f t="shared" si="69"/>
        <v>1045.5465612425962</v>
      </c>
      <c r="F269" s="119">
        <v>1351</v>
      </c>
      <c r="G269" s="120"/>
      <c r="H269" s="120"/>
      <c r="I269" s="119">
        <f t="shared" si="83"/>
        <v>928.86552175865756</v>
      </c>
      <c r="J269" s="120"/>
      <c r="K269" s="119"/>
      <c r="L269" s="119"/>
      <c r="M269" s="119"/>
      <c r="N269" s="119"/>
      <c r="O269" s="119">
        <f t="shared" si="84"/>
        <v>623.41208300125379</v>
      </c>
      <c r="P269" s="119"/>
      <c r="Q269" s="120"/>
    </row>
    <row r="270" spans="1:17" x14ac:dyDescent="0.2">
      <c r="B270" s="123">
        <v>53571</v>
      </c>
      <c r="C270" s="119">
        <f t="shared" si="67"/>
        <v>104283.22542406907</v>
      </c>
      <c r="D270" s="119">
        <f t="shared" si="68"/>
        <v>302.42135372980027</v>
      </c>
      <c r="E270" s="119">
        <f t="shared" si="69"/>
        <v>1048.5786462701997</v>
      </c>
      <c r="F270" s="119">
        <v>1351</v>
      </c>
      <c r="G270" s="120"/>
      <c r="H270" s="120"/>
      <c r="I270" s="119">
        <f t="shared" si="83"/>
        <v>928.86552175865756</v>
      </c>
      <c r="J270" s="120"/>
      <c r="K270" s="119"/>
      <c r="L270" s="119"/>
      <c r="M270" s="119"/>
      <c r="N270" s="119"/>
      <c r="O270" s="119">
        <f t="shared" si="84"/>
        <v>626.44416802885735</v>
      </c>
      <c r="P270" s="119"/>
      <c r="Q270" s="120"/>
    </row>
    <row r="271" spans="1:17" x14ac:dyDescent="0.2">
      <c r="B271" s="123">
        <v>53601</v>
      </c>
      <c r="C271" s="119">
        <f t="shared" si="67"/>
        <v>103234.64677779887</v>
      </c>
      <c r="D271" s="119">
        <f t="shared" si="68"/>
        <v>299.38047565561669</v>
      </c>
      <c r="E271" s="119">
        <f t="shared" si="69"/>
        <v>1051.6195243443833</v>
      </c>
      <c r="F271" s="119">
        <v>1351</v>
      </c>
      <c r="G271" s="120"/>
      <c r="H271" s="120"/>
      <c r="I271" s="119">
        <f t="shared" ref="I271" si="85">I269</f>
        <v>928.86552175865756</v>
      </c>
      <c r="J271" s="120"/>
      <c r="K271" s="119"/>
      <c r="L271" s="119"/>
      <c r="M271" s="119"/>
      <c r="N271" s="119"/>
      <c r="O271" s="125">
        <f t="shared" si="84"/>
        <v>629.48504610304087</v>
      </c>
      <c r="P271" s="119"/>
      <c r="Q271" s="120"/>
    </row>
    <row r="272" spans="1:17" x14ac:dyDescent="0.2">
      <c r="B272" s="123">
        <v>53632</v>
      </c>
      <c r="C272" s="119">
        <f t="shared" si="67"/>
        <v>102183.02725345449</v>
      </c>
      <c r="D272" s="119">
        <f t="shared" si="68"/>
        <v>296.330779035018</v>
      </c>
      <c r="E272" s="119">
        <f t="shared" si="69"/>
        <v>1054.6692209649821</v>
      </c>
      <c r="F272" s="119">
        <v>1351</v>
      </c>
      <c r="G272" s="120"/>
      <c r="H272" s="120"/>
      <c r="I272" s="119">
        <f>I271</f>
        <v>928.86552175865756</v>
      </c>
      <c r="J272" s="120"/>
      <c r="K272" s="119"/>
      <c r="L272" s="119"/>
      <c r="M272" s="119"/>
      <c r="N272" s="119"/>
      <c r="O272" s="125">
        <f t="shared" si="84"/>
        <v>632.53474272363951</v>
      </c>
      <c r="P272" s="119"/>
      <c r="Q272" s="120"/>
    </row>
    <row r="273" spans="1:17" x14ac:dyDescent="0.2">
      <c r="A273">
        <v>21</v>
      </c>
      <c r="B273" s="123">
        <v>53662</v>
      </c>
      <c r="C273" s="119">
        <f t="shared" si="67"/>
        <v>101128.35803248952</v>
      </c>
      <c r="D273" s="119">
        <f t="shared" si="68"/>
        <v>293.27223829421956</v>
      </c>
      <c r="E273" s="119">
        <f t="shared" si="69"/>
        <v>1057.7277617057805</v>
      </c>
      <c r="F273" s="119">
        <v>1351</v>
      </c>
      <c r="G273" s="120"/>
      <c r="H273" s="120"/>
      <c r="I273" s="118">
        <f>I272*$A$31</f>
        <v>942.79850458503734</v>
      </c>
      <c r="J273" s="118">
        <f>(I273/$J$2)/0.66</f>
        <v>17.856032283807522</v>
      </c>
      <c r="K273" s="118">
        <f>SUM(E262:E273)</f>
        <v>12492.802557368161</v>
      </c>
      <c r="L273" s="118">
        <f>SUM(I262:I273)-SUM(D262:D273)</f>
        <v>7441.1218012984318</v>
      </c>
      <c r="M273" s="118"/>
      <c r="N273" s="118">
        <v>2500</v>
      </c>
      <c r="O273" s="119">
        <f>I273-D273</f>
        <v>649.52626629081783</v>
      </c>
      <c r="P273" s="118">
        <f>SUM(O262:O273)+M273+N273</f>
        <v>9941.1218012984282</v>
      </c>
      <c r="Q273" s="118">
        <f>L273+M273+N273</f>
        <v>9941.1218012984318</v>
      </c>
    </row>
    <row r="274" spans="1:17" x14ac:dyDescent="0.2">
      <c r="B274" s="123">
        <v>53693</v>
      </c>
      <c r="C274" s="119">
        <f t="shared" si="67"/>
        <v>100070.63027078373</v>
      </c>
      <c r="D274" s="119">
        <f t="shared" si="68"/>
        <v>290.20482778527281</v>
      </c>
      <c r="E274" s="119">
        <f t="shared" si="69"/>
        <v>1060.7951722147272</v>
      </c>
      <c r="F274" s="119">
        <v>1351</v>
      </c>
      <c r="G274" s="120"/>
      <c r="H274" s="120"/>
      <c r="I274" s="119">
        <f t="shared" ref="I274:I282" si="86">I273</f>
        <v>942.79850458503734</v>
      </c>
      <c r="J274" s="120"/>
      <c r="K274" s="119"/>
      <c r="L274" s="119"/>
      <c r="M274" s="119"/>
      <c r="N274" s="119"/>
      <c r="O274" s="119">
        <f t="shared" ref="O274:O284" si="87">I274-D274</f>
        <v>652.59367679976458</v>
      </c>
      <c r="P274" s="119"/>
      <c r="Q274" s="120"/>
    </row>
    <row r="275" spans="1:17" x14ac:dyDescent="0.2">
      <c r="B275" s="123">
        <v>53724</v>
      </c>
      <c r="C275" s="119">
        <f t="shared" si="67"/>
        <v>99009.835098569005</v>
      </c>
      <c r="D275" s="119">
        <f t="shared" si="68"/>
        <v>287.12852178585007</v>
      </c>
      <c r="E275" s="119">
        <f t="shared" si="69"/>
        <v>1063.8714782141499</v>
      </c>
      <c r="F275" s="119">
        <v>1351</v>
      </c>
      <c r="G275" s="120"/>
      <c r="H275" s="120"/>
      <c r="I275" s="119">
        <f t="shared" si="86"/>
        <v>942.79850458503734</v>
      </c>
      <c r="J275" s="120"/>
      <c r="K275" s="119"/>
      <c r="L275" s="119"/>
      <c r="M275" s="119"/>
      <c r="N275" s="119"/>
      <c r="O275" s="119">
        <f t="shared" si="87"/>
        <v>655.66998279918721</v>
      </c>
      <c r="P275" s="119"/>
      <c r="Q275" s="120"/>
    </row>
    <row r="276" spans="1:17" x14ac:dyDescent="0.2">
      <c r="B276" s="123">
        <v>53752</v>
      </c>
      <c r="C276" s="119">
        <f t="shared" ref="C276:C339" si="88">C275-E275</f>
        <v>97945.963620354858</v>
      </c>
      <c r="D276" s="119">
        <f t="shared" ref="D276:D339" si="89">(C276*S$2)/12</f>
        <v>284.04329449902906</v>
      </c>
      <c r="E276" s="119">
        <f t="shared" ref="E276:E339" si="90">F276-D276</f>
        <v>1066.9567055009709</v>
      </c>
      <c r="F276" s="119">
        <v>1351</v>
      </c>
      <c r="G276" s="120"/>
      <c r="H276" s="120"/>
      <c r="I276" s="119">
        <f t="shared" si="86"/>
        <v>942.79850458503734</v>
      </c>
      <c r="J276" s="120"/>
      <c r="K276" s="119"/>
      <c r="L276" s="119"/>
      <c r="M276" s="119"/>
      <c r="N276" s="119"/>
      <c r="O276" s="119">
        <f t="shared" si="87"/>
        <v>658.75521008600822</v>
      </c>
      <c r="P276" s="119"/>
      <c r="Q276" s="120"/>
    </row>
    <row r="277" spans="1:17" x14ac:dyDescent="0.2">
      <c r="B277" s="123">
        <v>53783</v>
      </c>
      <c r="C277" s="119">
        <f t="shared" si="88"/>
        <v>96879.00691485389</v>
      </c>
      <c r="D277" s="119">
        <f t="shared" si="89"/>
        <v>280.94912005307623</v>
      </c>
      <c r="E277" s="119">
        <f t="shared" si="90"/>
        <v>1070.0508799469237</v>
      </c>
      <c r="F277" s="119">
        <v>1351</v>
      </c>
      <c r="G277" s="120"/>
      <c r="H277" s="120"/>
      <c r="I277" s="119">
        <f t="shared" si="86"/>
        <v>942.79850458503734</v>
      </c>
      <c r="J277" s="120"/>
      <c r="K277" s="119"/>
      <c r="L277" s="119"/>
      <c r="M277" s="119"/>
      <c r="N277" s="119"/>
      <c r="O277" s="119">
        <f t="shared" si="87"/>
        <v>661.84938453196105</v>
      </c>
      <c r="P277" s="119"/>
      <c r="Q277" s="120"/>
    </row>
    <row r="278" spans="1:17" x14ac:dyDescent="0.2">
      <c r="B278" s="123">
        <v>53813</v>
      </c>
      <c r="C278" s="119">
        <f t="shared" si="88"/>
        <v>95808.956034906965</v>
      </c>
      <c r="D278" s="119">
        <f t="shared" si="89"/>
        <v>277.84597250123016</v>
      </c>
      <c r="E278" s="119">
        <f t="shared" si="90"/>
        <v>1073.1540274987699</v>
      </c>
      <c r="F278" s="119">
        <v>1351</v>
      </c>
      <c r="G278" s="120"/>
      <c r="H278" s="120"/>
      <c r="I278" s="119">
        <f t="shared" si="86"/>
        <v>942.79850458503734</v>
      </c>
      <c r="J278" s="120"/>
      <c r="K278" s="119"/>
      <c r="L278" s="119"/>
      <c r="M278" s="119"/>
      <c r="N278" s="119"/>
      <c r="O278" s="119">
        <f t="shared" si="87"/>
        <v>664.95253208380723</v>
      </c>
      <c r="P278" s="119"/>
      <c r="Q278" s="120"/>
    </row>
    <row r="279" spans="1:17" x14ac:dyDescent="0.2">
      <c r="B279" s="123">
        <v>53844</v>
      </c>
      <c r="C279" s="119">
        <f t="shared" si="88"/>
        <v>94735.802007408201</v>
      </c>
      <c r="D279" s="119">
        <f t="shared" si="89"/>
        <v>274.73382582148378</v>
      </c>
      <c r="E279" s="119">
        <f t="shared" si="90"/>
        <v>1076.2661741785162</v>
      </c>
      <c r="F279" s="119">
        <v>1351</v>
      </c>
      <c r="G279" s="120"/>
      <c r="H279" s="120"/>
      <c r="I279" s="119">
        <f t="shared" si="86"/>
        <v>942.79850458503734</v>
      </c>
      <c r="J279" s="120"/>
      <c r="K279" s="119"/>
      <c r="L279" s="119"/>
      <c r="M279" s="119"/>
      <c r="N279" s="119"/>
      <c r="O279" s="119">
        <f t="shared" si="87"/>
        <v>668.0646787635535</v>
      </c>
      <c r="P279" s="119"/>
      <c r="Q279" s="120"/>
    </row>
    <row r="280" spans="1:17" x14ac:dyDescent="0.2">
      <c r="B280" s="123">
        <v>53874</v>
      </c>
      <c r="C280" s="119">
        <f t="shared" si="88"/>
        <v>93659.535833229689</v>
      </c>
      <c r="D280" s="119">
        <f t="shared" si="89"/>
        <v>271.61265391636607</v>
      </c>
      <c r="E280" s="119">
        <f t="shared" si="90"/>
        <v>1079.3873460836339</v>
      </c>
      <c r="F280" s="119">
        <v>1351</v>
      </c>
      <c r="G280" s="120"/>
      <c r="H280" s="120"/>
      <c r="I280" s="119">
        <f t="shared" si="86"/>
        <v>942.79850458503734</v>
      </c>
      <c r="J280" s="120"/>
      <c r="K280" s="119"/>
      <c r="L280" s="119"/>
      <c r="M280" s="119"/>
      <c r="N280" s="119"/>
      <c r="O280" s="119">
        <f t="shared" si="87"/>
        <v>671.18585066867126</v>
      </c>
      <c r="P280" s="119"/>
      <c r="Q280" s="120"/>
    </row>
    <row r="281" spans="1:17" x14ac:dyDescent="0.2">
      <c r="B281" s="123">
        <v>53905</v>
      </c>
      <c r="C281" s="119">
        <f t="shared" si="88"/>
        <v>92580.148487146056</v>
      </c>
      <c r="D281" s="119">
        <f t="shared" si="89"/>
        <v>268.48243061272353</v>
      </c>
      <c r="E281" s="119">
        <f t="shared" si="90"/>
        <v>1082.5175693872766</v>
      </c>
      <c r="F281" s="119">
        <v>1351</v>
      </c>
      <c r="G281" s="120"/>
      <c r="H281" s="120"/>
      <c r="I281" s="119">
        <f t="shared" si="86"/>
        <v>942.79850458503734</v>
      </c>
      <c r="J281" s="120"/>
      <c r="K281" s="119"/>
      <c r="L281" s="119"/>
      <c r="M281" s="119"/>
      <c r="N281" s="119"/>
      <c r="O281" s="119">
        <f t="shared" si="87"/>
        <v>674.3160739723138</v>
      </c>
      <c r="P281" s="119"/>
      <c r="Q281" s="120"/>
    </row>
    <row r="282" spans="1:17" x14ac:dyDescent="0.2">
      <c r="B282" s="123">
        <v>53936</v>
      </c>
      <c r="C282" s="119">
        <f t="shared" si="88"/>
        <v>91497.630917758783</v>
      </c>
      <c r="D282" s="119">
        <f t="shared" si="89"/>
        <v>265.34312966150043</v>
      </c>
      <c r="E282" s="119">
        <f t="shared" si="90"/>
        <v>1085.6568703384996</v>
      </c>
      <c r="F282" s="119">
        <v>1351</v>
      </c>
      <c r="G282" s="120"/>
      <c r="H282" s="120"/>
      <c r="I282" s="119">
        <f t="shared" si="86"/>
        <v>942.79850458503734</v>
      </c>
      <c r="J282" s="120"/>
      <c r="K282" s="119"/>
      <c r="L282" s="119"/>
      <c r="M282" s="119"/>
      <c r="N282" s="119"/>
      <c r="O282" s="119">
        <f t="shared" si="87"/>
        <v>677.45537492353697</v>
      </c>
      <c r="P282" s="119"/>
      <c r="Q282" s="120"/>
    </row>
    <row r="283" spans="1:17" x14ac:dyDescent="0.2">
      <c r="B283" s="123">
        <v>53966</v>
      </c>
      <c r="C283" s="119">
        <f t="shared" si="88"/>
        <v>90411.974047420284</v>
      </c>
      <c r="D283" s="119">
        <f t="shared" si="89"/>
        <v>262.19472473751881</v>
      </c>
      <c r="E283" s="119">
        <f t="shared" si="90"/>
        <v>1088.8052752624812</v>
      </c>
      <c r="F283" s="119">
        <v>1351</v>
      </c>
      <c r="G283" s="120"/>
      <c r="H283" s="120"/>
      <c r="I283" s="119">
        <f t="shared" ref="I283" si="91">I281</f>
        <v>942.79850458503734</v>
      </c>
      <c r="J283" s="120"/>
      <c r="K283" s="119"/>
      <c r="L283" s="119"/>
      <c r="M283" s="119"/>
      <c r="N283" s="119"/>
      <c r="O283" s="125">
        <f t="shared" si="87"/>
        <v>680.60377984751858</v>
      </c>
      <c r="P283" s="119"/>
      <c r="Q283" s="120"/>
    </row>
    <row r="284" spans="1:17" x14ac:dyDescent="0.2">
      <c r="B284" s="123">
        <v>53997</v>
      </c>
      <c r="C284" s="119">
        <f t="shared" si="88"/>
        <v>89323.168772157806</v>
      </c>
      <c r="D284" s="119">
        <f t="shared" si="89"/>
        <v>259.03718943925759</v>
      </c>
      <c r="E284" s="119">
        <f t="shared" si="90"/>
        <v>1091.9628105607424</v>
      </c>
      <c r="F284" s="119">
        <v>1351</v>
      </c>
      <c r="G284" s="120"/>
      <c r="H284" s="120"/>
      <c r="I284" s="119">
        <f>I283</f>
        <v>942.79850458503734</v>
      </c>
      <c r="J284" s="120"/>
      <c r="K284" s="119"/>
      <c r="L284" s="119"/>
      <c r="M284" s="119"/>
      <c r="N284" s="119"/>
      <c r="O284" s="125">
        <f t="shared" si="87"/>
        <v>683.76131514577969</v>
      </c>
      <c r="P284" s="119"/>
      <c r="Q284" s="120"/>
    </row>
    <row r="285" spans="1:17" x14ac:dyDescent="0.2">
      <c r="A285">
        <v>22</v>
      </c>
      <c r="B285" s="123">
        <v>54027</v>
      </c>
      <c r="C285" s="119">
        <f t="shared" si="88"/>
        <v>88231.205961597065</v>
      </c>
      <c r="D285" s="119">
        <f t="shared" si="89"/>
        <v>255.87049728863147</v>
      </c>
      <c r="E285" s="119">
        <f t="shared" si="90"/>
        <v>1095.1295027113686</v>
      </c>
      <c r="F285" s="119">
        <v>1351</v>
      </c>
      <c r="G285" s="120"/>
      <c r="H285" s="120"/>
      <c r="I285" s="118">
        <f>I284*$A$31</f>
        <v>956.94048215381281</v>
      </c>
      <c r="J285" s="118">
        <f>(I285/$J$2)/0.66</f>
        <v>18.123872768064636</v>
      </c>
      <c r="K285" s="118">
        <f>SUM(E274:E285)</f>
        <v>12934.55381189806</v>
      </c>
      <c r="L285" s="118">
        <f>SUM(I274:I285)-SUM(D274:D285)</f>
        <v>8050.2778444872802</v>
      </c>
      <c r="M285" s="118"/>
      <c r="N285" s="118">
        <v>2500</v>
      </c>
      <c r="O285" s="119">
        <f>I285-D285</f>
        <v>701.06998486518137</v>
      </c>
      <c r="P285" s="118">
        <f>SUM(O274:O285)+M285+N285</f>
        <v>10550.277844487284</v>
      </c>
      <c r="Q285" s="118">
        <f>L285+M285+N285</f>
        <v>10550.27784448728</v>
      </c>
    </row>
    <row r="286" spans="1:17" x14ac:dyDescent="0.2">
      <c r="B286" s="123">
        <v>54058</v>
      </c>
      <c r="C286" s="119">
        <f t="shared" si="88"/>
        <v>87136.076458885698</v>
      </c>
      <c r="D286" s="119">
        <f t="shared" si="89"/>
        <v>252.69462173076852</v>
      </c>
      <c r="E286" s="119">
        <f t="shared" si="90"/>
        <v>1098.3053782692314</v>
      </c>
      <c r="F286" s="119">
        <v>1351</v>
      </c>
      <c r="G286" s="120"/>
      <c r="H286" s="120"/>
      <c r="I286" s="119">
        <f t="shared" ref="I286:I294" si="92">I285</f>
        <v>956.94048215381281</v>
      </c>
      <c r="J286" s="120"/>
      <c r="K286" s="119"/>
      <c r="L286" s="119"/>
      <c r="M286" s="119"/>
      <c r="N286" s="119"/>
      <c r="O286" s="119">
        <f t="shared" ref="O286:O296" si="93">I286-D286</f>
        <v>704.24586042304429</v>
      </c>
      <c r="P286" s="119"/>
      <c r="Q286" s="120"/>
    </row>
    <row r="287" spans="1:17" x14ac:dyDescent="0.2">
      <c r="B287" s="123">
        <v>54089</v>
      </c>
      <c r="C287" s="119">
        <f t="shared" si="88"/>
        <v>86037.771080616469</v>
      </c>
      <c r="D287" s="119">
        <f t="shared" si="89"/>
        <v>249.50953613378775</v>
      </c>
      <c r="E287" s="119">
        <f t="shared" si="90"/>
        <v>1101.4904638662122</v>
      </c>
      <c r="F287" s="119">
        <v>1351</v>
      </c>
      <c r="G287" s="120"/>
      <c r="H287" s="120"/>
      <c r="I287" s="119">
        <f t="shared" si="92"/>
        <v>956.94048215381281</v>
      </c>
      <c r="J287" s="120"/>
      <c r="K287" s="119"/>
      <c r="L287" s="119"/>
      <c r="M287" s="119"/>
      <c r="N287" s="119"/>
      <c r="O287" s="119">
        <f t="shared" si="93"/>
        <v>707.43094602002509</v>
      </c>
      <c r="P287" s="119"/>
      <c r="Q287" s="120"/>
    </row>
    <row r="288" spans="1:17" x14ac:dyDescent="0.2">
      <c r="B288" s="123">
        <v>54118</v>
      </c>
      <c r="C288" s="119">
        <f t="shared" si="88"/>
        <v>84936.280616750257</v>
      </c>
      <c r="D288" s="119">
        <f t="shared" si="89"/>
        <v>246.31521378857573</v>
      </c>
      <c r="E288" s="119">
        <f t="shared" si="90"/>
        <v>1104.6847862114244</v>
      </c>
      <c r="F288" s="119">
        <v>1351</v>
      </c>
      <c r="G288" s="120"/>
      <c r="H288" s="120"/>
      <c r="I288" s="119">
        <f t="shared" si="92"/>
        <v>956.94048215381281</v>
      </c>
      <c r="J288" s="120"/>
      <c r="K288" s="119"/>
      <c r="L288" s="119"/>
      <c r="M288" s="119"/>
      <c r="N288" s="119"/>
      <c r="O288" s="119">
        <f t="shared" si="93"/>
        <v>710.62526836523705</v>
      </c>
      <c r="P288" s="119"/>
      <c r="Q288" s="120"/>
    </row>
    <row r="289" spans="1:17" x14ac:dyDescent="0.2">
      <c r="B289" s="123">
        <v>54149</v>
      </c>
      <c r="C289" s="119">
        <f t="shared" si="88"/>
        <v>83831.595830538834</v>
      </c>
      <c r="D289" s="119">
        <f t="shared" si="89"/>
        <v>243.11162790856261</v>
      </c>
      <c r="E289" s="119">
        <f t="shared" si="90"/>
        <v>1107.8883720914373</v>
      </c>
      <c r="F289" s="119">
        <v>1351</v>
      </c>
      <c r="G289" s="120"/>
      <c r="H289" s="120"/>
      <c r="I289" s="119">
        <f t="shared" si="92"/>
        <v>956.94048215381281</v>
      </c>
      <c r="J289" s="120"/>
      <c r="K289" s="119"/>
      <c r="L289" s="119"/>
      <c r="M289" s="119"/>
      <c r="N289" s="119"/>
      <c r="O289" s="119">
        <f t="shared" si="93"/>
        <v>713.82885424525023</v>
      </c>
      <c r="P289" s="119"/>
      <c r="Q289" s="120"/>
    </row>
    <row r="290" spans="1:17" x14ac:dyDescent="0.2">
      <c r="B290" s="123">
        <v>54179</v>
      </c>
      <c r="C290" s="119">
        <f t="shared" si="88"/>
        <v>82723.707458447403</v>
      </c>
      <c r="D290" s="119">
        <f t="shared" si="89"/>
        <v>239.89875162949747</v>
      </c>
      <c r="E290" s="119">
        <f t="shared" si="90"/>
        <v>1111.1012483705026</v>
      </c>
      <c r="F290" s="119">
        <v>1351</v>
      </c>
      <c r="G290" s="120"/>
      <c r="H290" s="120"/>
      <c r="I290" s="119">
        <f t="shared" si="92"/>
        <v>956.94048215381281</v>
      </c>
      <c r="J290" s="120"/>
      <c r="K290" s="119"/>
      <c r="L290" s="119"/>
      <c r="M290" s="119"/>
      <c r="N290" s="119"/>
      <c r="O290" s="119">
        <f t="shared" si="93"/>
        <v>717.04173052431531</v>
      </c>
      <c r="P290" s="119"/>
      <c r="Q290" s="120"/>
    </row>
    <row r="291" spans="1:17" x14ac:dyDescent="0.2">
      <c r="B291" s="123">
        <v>54210</v>
      </c>
      <c r="C291" s="119">
        <f t="shared" si="88"/>
        <v>81612.606210076905</v>
      </c>
      <c r="D291" s="119">
        <f t="shared" si="89"/>
        <v>236.67655800922299</v>
      </c>
      <c r="E291" s="119">
        <f t="shared" si="90"/>
        <v>1114.3234419907769</v>
      </c>
      <c r="F291" s="119">
        <v>1351</v>
      </c>
      <c r="G291" s="120"/>
      <c r="H291" s="120"/>
      <c r="I291" s="119">
        <f t="shared" si="92"/>
        <v>956.94048215381281</v>
      </c>
      <c r="J291" s="120"/>
      <c r="K291" s="119"/>
      <c r="L291" s="119"/>
      <c r="M291" s="119"/>
      <c r="N291" s="119"/>
      <c r="O291" s="119">
        <f t="shared" si="93"/>
        <v>720.26392414458985</v>
      </c>
      <c r="P291" s="119"/>
      <c r="Q291" s="120"/>
    </row>
    <row r="292" spans="1:17" x14ac:dyDescent="0.2">
      <c r="B292" s="123">
        <v>54240</v>
      </c>
      <c r="C292" s="119">
        <f t="shared" si="88"/>
        <v>80498.282768086123</v>
      </c>
      <c r="D292" s="119">
        <f t="shared" si="89"/>
        <v>233.44502002744971</v>
      </c>
      <c r="E292" s="119">
        <f t="shared" si="90"/>
        <v>1117.5549799725502</v>
      </c>
      <c r="F292" s="119">
        <v>1351</v>
      </c>
      <c r="G292" s="120"/>
      <c r="H292" s="120"/>
      <c r="I292" s="119">
        <f t="shared" si="92"/>
        <v>956.94048215381281</v>
      </c>
      <c r="J292" s="120"/>
      <c r="K292" s="119"/>
      <c r="L292" s="119"/>
      <c r="M292" s="119"/>
      <c r="N292" s="119"/>
      <c r="O292" s="119">
        <f t="shared" si="93"/>
        <v>723.49546212636312</v>
      </c>
      <c r="P292" s="119"/>
      <c r="Q292" s="120"/>
    </row>
    <row r="293" spans="1:17" x14ac:dyDescent="0.2">
      <c r="B293" s="123">
        <v>54271</v>
      </c>
      <c r="C293" s="119">
        <f t="shared" si="88"/>
        <v>79380.727788113567</v>
      </c>
      <c r="D293" s="119">
        <f t="shared" si="89"/>
        <v>230.20411058552932</v>
      </c>
      <c r="E293" s="119">
        <f t="shared" si="90"/>
        <v>1120.7958894144706</v>
      </c>
      <c r="F293" s="119">
        <v>1351</v>
      </c>
      <c r="G293" s="120"/>
      <c r="H293" s="120"/>
      <c r="I293" s="119">
        <f t="shared" si="92"/>
        <v>956.94048215381281</v>
      </c>
      <c r="J293" s="120"/>
      <c r="K293" s="119"/>
      <c r="L293" s="119"/>
      <c r="M293" s="119"/>
      <c r="N293" s="119"/>
      <c r="O293" s="119">
        <f t="shared" si="93"/>
        <v>726.73637156828352</v>
      </c>
      <c r="P293" s="119"/>
      <c r="Q293" s="120"/>
    </row>
    <row r="294" spans="1:17" x14ac:dyDescent="0.2">
      <c r="B294" s="123">
        <v>54302</v>
      </c>
      <c r="C294" s="119">
        <f t="shared" si="88"/>
        <v>78259.931898699098</v>
      </c>
      <c r="D294" s="119">
        <f t="shared" si="89"/>
        <v>226.95380250622736</v>
      </c>
      <c r="E294" s="119">
        <f t="shared" si="90"/>
        <v>1124.0461974937725</v>
      </c>
      <c r="F294" s="119">
        <v>1351</v>
      </c>
      <c r="G294" s="120"/>
      <c r="H294" s="120"/>
      <c r="I294" s="119">
        <f t="shared" si="92"/>
        <v>956.94048215381281</v>
      </c>
      <c r="J294" s="120"/>
      <c r="K294" s="119"/>
      <c r="L294" s="119"/>
      <c r="M294" s="119"/>
      <c r="N294" s="119"/>
      <c r="O294" s="119">
        <f t="shared" si="93"/>
        <v>729.98667964758545</v>
      </c>
      <c r="P294" s="119"/>
      <c r="Q294" s="120"/>
    </row>
    <row r="295" spans="1:17" x14ac:dyDescent="0.2">
      <c r="B295" s="123">
        <v>54332</v>
      </c>
      <c r="C295" s="119">
        <f t="shared" si="88"/>
        <v>77135.885701205319</v>
      </c>
      <c r="D295" s="119">
        <f t="shared" si="89"/>
        <v>223.6940685334954</v>
      </c>
      <c r="E295" s="119">
        <f t="shared" si="90"/>
        <v>1127.3059314665047</v>
      </c>
      <c r="F295" s="119">
        <v>1351</v>
      </c>
      <c r="G295" s="120"/>
      <c r="H295" s="120"/>
      <c r="I295" s="119">
        <f t="shared" ref="I295" si="94">I293</f>
        <v>956.94048215381281</v>
      </c>
      <c r="J295" s="120"/>
      <c r="K295" s="119"/>
      <c r="L295" s="119"/>
      <c r="M295" s="119"/>
      <c r="N295" s="119"/>
      <c r="O295" s="125">
        <f t="shared" si="93"/>
        <v>733.24641362031741</v>
      </c>
      <c r="P295" s="119"/>
      <c r="Q295" s="120"/>
    </row>
    <row r="296" spans="1:17" x14ac:dyDescent="0.2">
      <c r="B296" s="123">
        <v>54363</v>
      </c>
      <c r="C296" s="119">
        <f t="shared" si="88"/>
        <v>76008.579769738819</v>
      </c>
      <c r="D296" s="119">
        <f t="shared" si="89"/>
        <v>220.42488133224256</v>
      </c>
      <c r="E296" s="119">
        <f t="shared" si="90"/>
        <v>1130.5751186677574</v>
      </c>
      <c r="F296" s="119">
        <v>1351</v>
      </c>
      <c r="G296" s="120"/>
      <c r="H296" s="120"/>
      <c r="I296" s="119">
        <f>I295</f>
        <v>956.94048215381281</v>
      </c>
      <c r="J296" s="120"/>
      <c r="K296" s="119"/>
      <c r="L296" s="119"/>
      <c r="M296" s="119"/>
      <c r="N296" s="119"/>
      <c r="O296" s="125">
        <f t="shared" si="93"/>
        <v>736.51560082157027</v>
      </c>
      <c r="P296" s="119"/>
      <c r="Q296" s="120"/>
    </row>
    <row r="297" spans="1:17" x14ac:dyDescent="0.2">
      <c r="A297">
        <v>23</v>
      </c>
      <c r="B297" s="123">
        <v>54393</v>
      </c>
      <c r="C297" s="119">
        <f t="shared" si="88"/>
        <v>74878.004651071067</v>
      </c>
      <c r="D297" s="119">
        <f t="shared" si="89"/>
        <v>217.1462134881061</v>
      </c>
      <c r="E297" s="119">
        <f t="shared" si="90"/>
        <v>1133.853786511894</v>
      </c>
      <c r="F297" s="119">
        <v>1351</v>
      </c>
      <c r="G297" s="120"/>
      <c r="H297" s="120"/>
      <c r="I297" s="118">
        <f>I296*$A$31</f>
        <v>971.29458938611992</v>
      </c>
      <c r="J297" s="118">
        <f>(I297/$J$2)/0.66</f>
        <v>18.395730859585605</v>
      </c>
      <c r="K297" s="118">
        <f>SUM(E286:E297)</f>
        <v>13391.925594326534</v>
      </c>
      <c r="L297" s="118">
        <f>SUM(I286:I297)-SUM(D286:D297)</f>
        <v>8677.5654874045922</v>
      </c>
      <c r="M297" s="118"/>
      <c r="N297" s="118">
        <v>2500</v>
      </c>
      <c r="O297" s="119">
        <f>I297-D297</f>
        <v>754.1483758980138</v>
      </c>
      <c r="P297" s="118">
        <f>SUM(O286:O297)+M297+N297</f>
        <v>11177.565487404594</v>
      </c>
      <c r="Q297" s="118">
        <f>L297+M297+N297</f>
        <v>11177.565487404592</v>
      </c>
    </row>
    <row r="298" spans="1:17" x14ac:dyDescent="0.2">
      <c r="B298" s="123">
        <v>54424</v>
      </c>
      <c r="C298" s="119">
        <f t="shared" si="88"/>
        <v>73744.150864559168</v>
      </c>
      <c r="D298" s="119">
        <f t="shared" si="89"/>
        <v>213.85803750722155</v>
      </c>
      <c r="E298" s="119">
        <f t="shared" si="90"/>
        <v>1137.1419624927785</v>
      </c>
      <c r="F298" s="119">
        <v>1351</v>
      </c>
      <c r="G298" s="120"/>
      <c r="H298" s="120"/>
      <c r="I298" s="119">
        <f t="shared" ref="I298:I306" si="95">I297</f>
        <v>971.29458938611992</v>
      </c>
      <c r="J298" s="120"/>
      <c r="K298" s="119"/>
      <c r="L298" s="119"/>
      <c r="M298" s="119"/>
      <c r="N298" s="119"/>
      <c r="O298" s="119">
        <f t="shared" ref="O298:O308" si="96">I298-D298</f>
        <v>757.4365518788984</v>
      </c>
      <c r="P298" s="119"/>
      <c r="Q298" s="120"/>
    </row>
    <row r="299" spans="1:17" x14ac:dyDescent="0.2">
      <c r="B299" s="123">
        <v>54455</v>
      </c>
      <c r="C299" s="119">
        <f t="shared" si="88"/>
        <v>72607.008902066387</v>
      </c>
      <c r="D299" s="119">
        <f t="shared" si="89"/>
        <v>210.56032581599251</v>
      </c>
      <c r="E299" s="119">
        <f t="shared" si="90"/>
        <v>1140.4396741840076</v>
      </c>
      <c r="F299" s="119">
        <v>1351</v>
      </c>
      <c r="G299" s="120"/>
      <c r="H299" s="120"/>
      <c r="I299" s="119">
        <f t="shared" si="95"/>
        <v>971.29458938611992</v>
      </c>
      <c r="J299" s="120"/>
      <c r="K299" s="119"/>
      <c r="L299" s="119"/>
      <c r="M299" s="119"/>
      <c r="N299" s="119"/>
      <c r="O299" s="119">
        <f t="shared" si="96"/>
        <v>760.73426357012738</v>
      </c>
      <c r="P299" s="119"/>
      <c r="Q299" s="120"/>
    </row>
    <row r="300" spans="1:17" x14ac:dyDescent="0.2">
      <c r="B300" s="123">
        <v>54483</v>
      </c>
      <c r="C300" s="119">
        <f t="shared" si="88"/>
        <v>71466.569227882384</v>
      </c>
      <c r="D300" s="119">
        <f t="shared" si="89"/>
        <v>207.25305076085888</v>
      </c>
      <c r="E300" s="119">
        <f t="shared" si="90"/>
        <v>1143.746949239141</v>
      </c>
      <c r="F300" s="119">
        <v>1351</v>
      </c>
      <c r="G300" s="120"/>
      <c r="H300" s="120"/>
      <c r="I300" s="119">
        <f t="shared" si="95"/>
        <v>971.29458938611992</v>
      </c>
      <c r="J300" s="120"/>
      <c r="K300" s="119"/>
      <c r="L300" s="119"/>
      <c r="M300" s="119"/>
      <c r="N300" s="119"/>
      <c r="O300" s="119">
        <f t="shared" si="96"/>
        <v>764.04153862526107</v>
      </c>
      <c r="P300" s="119"/>
      <c r="Q300" s="120"/>
    </row>
    <row r="301" spans="1:17" x14ac:dyDescent="0.2">
      <c r="B301" s="123">
        <v>54514</v>
      </c>
      <c r="C301" s="119">
        <f t="shared" si="88"/>
        <v>70322.822278643245</v>
      </c>
      <c r="D301" s="119">
        <f t="shared" si="89"/>
        <v>203.93618460806542</v>
      </c>
      <c r="E301" s="119">
        <f t="shared" si="90"/>
        <v>1147.0638153919347</v>
      </c>
      <c r="F301" s="119">
        <v>1351</v>
      </c>
      <c r="G301" s="120"/>
      <c r="H301" s="120"/>
      <c r="I301" s="119">
        <f t="shared" si="95"/>
        <v>971.29458938611992</v>
      </c>
      <c r="J301" s="120"/>
      <c r="K301" s="119"/>
      <c r="L301" s="119"/>
      <c r="M301" s="119"/>
      <c r="N301" s="119"/>
      <c r="O301" s="119">
        <f t="shared" si="96"/>
        <v>767.35840477805448</v>
      </c>
      <c r="P301" s="119"/>
      <c r="Q301" s="120"/>
    </row>
    <row r="302" spans="1:17" x14ac:dyDescent="0.2">
      <c r="B302" s="123">
        <v>54544</v>
      </c>
      <c r="C302" s="119">
        <f t="shared" si="88"/>
        <v>69175.758463251317</v>
      </c>
      <c r="D302" s="119">
        <f t="shared" si="89"/>
        <v>200.60969954342883</v>
      </c>
      <c r="E302" s="119">
        <f t="shared" si="90"/>
        <v>1150.3903004565711</v>
      </c>
      <c r="F302" s="119">
        <v>1351</v>
      </c>
      <c r="G302" s="120"/>
      <c r="H302" s="120"/>
      <c r="I302" s="119">
        <f t="shared" si="95"/>
        <v>971.29458938611992</v>
      </c>
      <c r="J302" s="120"/>
      <c r="K302" s="119"/>
      <c r="L302" s="119"/>
      <c r="M302" s="119"/>
      <c r="N302" s="119"/>
      <c r="O302" s="119">
        <f t="shared" si="96"/>
        <v>770.68488984269106</v>
      </c>
      <c r="P302" s="119"/>
      <c r="Q302" s="120"/>
    </row>
    <row r="303" spans="1:17" x14ac:dyDescent="0.2">
      <c r="B303" s="123">
        <v>54575</v>
      </c>
      <c r="C303" s="119">
        <f t="shared" si="88"/>
        <v>68025.368162794752</v>
      </c>
      <c r="D303" s="119">
        <f t="shared" si="89"/>
        <v>197.27356767210475</v>
      </c>
      <c r="E303" s="119">
        <f t="shared" si="90"/>
        <v>1153.7264323278953</v>
      </c>
      <c r="F303" s="119">
        <v>1351</v>
      </c>
      <c r="G303" s="120"/>
      <c r="H303" s="120"/>
      <c r="I303" s="119">
        <f t="shared" si="95"/>
        <v>971.29458938611992</v>
      </c>
      <c r="J303" s="120"/>
      <c r="K303" s="119"/>
      <c r="L303" s="119"/>
      <c r="M303" s="119"/>
      <c r="N303" s="119"/>
      <c r="O303" s="119">
        <f t="shared" si="96"/>
        <v>774.02102171401521</v>
      </c>
      <c r="P303" s="119"/>
      <c r="Q303" s="120"/>
    </row>
    <row r="304" spans="1:17" x14ac:dyDescent="0.2">
      <c r="B304" s="123">
        <v>54605</v>
      </c>
      <c r="C304" s="119">
        <f t="shared" si="88"/>
        <v>66871.641730466858</v>
      </c>
      <c r="D304" s="119">
        <f t="shared" si="89"/>
        <v>193.92776101835386</v>
      </c>
      <c r="E304" s="119">
        <f t="shared" si="90"/>
        <v>1157.072238981646</v>
      </c>
      <c r="F304" s="119">
        <v>1351</v>
      </c>
      <c r="G304" s="120"/>
      <c r="H304" s="120"/>
      <c r="I304" s="119">
        <f t="shared" si="95"/>
        <v>971.29458938611992</v>
      </c>
      <c r="J304" s="120"/>
      <c r="K304" s="119"/>
      <c r="L304" s="119"/>
      <c r="M304" s="119"/>
      <c r="N304" s="119"/>
      <c r="O304" s="119">
        <f t="shared" si="96"/>
        <v>777.36682836776606</v>
      </c>
      <c r="P304" s="119"/>
      <c r="Q304" s="120"/>
    </row>
    <row r="305" spans="1:17" x14ac:dyDescent="0.2">
      <c r="B305" s="123">
        <v>54636</v>
      </c>
      <c r="C305" s="119">
        <f t="shared" si="88"/>
        <v>65714.569491485207</v>
      </c>
      <c r="D305" s="119">
        <f t="shared" si="89"/>
        <v>190.57225152530711</v>
      </c>
      <c r="E305" s="119">
        <f t="shared" si="90"/>
        <v>1160.4277484746929</v>
      </c>
      <c r="F305" s="119">
        <v>1351</v>
      </c>
      <c r="G305" s="120"/>
      <c r="H305" s="120"/>
      <c r="I305" s="119">
        <f t="shared" si="95"/>
        <v>971.29458938611992</v>
      </c>
      <c r="J305" s="120"/>
      <c r="K305" s="119"/>
      <c r="L305" s="119"/>
      <c r="M305" s="119"/>
      <c r="N305" s="119"/>
      <c r="O305" s="119">
        <f t="shared" si="96"/>
        <v>780.72233786081279</v>
      </c>
      <c r="P305" s="119"/>
      <c r="Q305" s="120"/>
    </row>
    <row r="306" spans="1:17" x14ac:dyDescent="0.2">
      <c r="B306" s="123">
        <v>54667</v>
      </c>
      <c r="C306" s="119">
        <f t="shared" si="88"/>
        <v>64554.141743010514</v>
      </c>
      <c r="D306" s="119">
        <f t="shared" si="89"/>
        <v>187.20701105473049</v>
      </c>
      <c r="E306" s="119">
        <f t="shared" si="90"/>
        <v>1163.7929889452696</v>
      </c>
      <c r="F306" s="119">
        <v>1351</v>
      </c>
      <c r="G306" s="120"/>
      <c r="H306" s="120"/>
      <c r="I306" s="119">
        <f t="shared" si="95"/>
        <v>971.29458938611992</v>
      </c>
      <c r="J306" s="120"/>
      <c r="K306" s="119"/>
      <c r="L306" s="119"/>
      <c r="M306" s="119"/>
      <c r="N306" s="119"/>
      <c r="O306" s="119">
        <f t="shared" si="96"/>
        <v>784.08757833138941</v>
      </c>
      <c r="P306" s="119"/>
      <c r="Q306" s="120"/>
    </row>
    <row r="307" spans="1:17" x14ac:dyDescent="0.2">
      <c r="B307" s="123">
        <v>54697</v>
      </c>
      <c r="C307" s="119">
        <f t="shared" si="88"/>
        <v>63390.348754065242</v>
      </c>
      <c r="D307" s="119">
        <f t="shared" si="89"/>
        <v>183.83201138678919</v>
      </c>
      <c r="E307" s="119">
        <f t="shared" si="90"/>
        <v>1167.1679886132108</v>
      </c>
      <c r="F307" s="119">
        <v>1351</v>
      </c>
      <c r="G307" s="120"/>
      <c r="H307" s="120"/>
      <c r="I307" s="119">
        <f t="shared" ref="I307" si="97">I305</f>
        <v>971.29458938611992</v>
      </c>
      <c r="J307" s="120"/>
      <c r="K307" s="119"/>
      <c r="L307" s="119"/>
      <c r="M307" s="119"/>
      <c r="N307" s="119"/>
      <c r="O307" s="125">
        <f t="shared" si="96"/>
        <v>787.46257799933073</v>
      </c>
      <c r="P307" s="119"/>
      <c r="Q307" s="120"/>
    </row>
    <row r="308" spans="1:17" x14ac:dyDescent="0.2">
      <c r="B308" s="123">
        <v>54728</v>
      </c>
      <c r="C308" s="119">
        <f t="shared" si="88"/>
        <v>62223.180765452031</v>
      </c>
      <c r="D308" s="119">
        <f t="shared" si="89"/>
        <v>180.44722421981089</v>
      </c>
      <c r="E308" s="119">
        <f t="shared" si="90"/>
        <v>1170.5527757801892</v>
      </c>
      <c r="F308" s="119">
        <v>1351</v>
      </c>
      <c r="G308" s="120"/>
      <c r="H308" s="120"/>
      <c r="I308" s="119">
        <f>I307</f>
        <v>971.29458938611992</v>
      </c>
      <c r="J308" s="120"/>
      <c r="K308" s="119"/>
      <c r="L308" s="119"/>
      <c r="M308" s="119"/>
      <c r="N308" s="119"/>
      <c r="O308" s="125">
        <f t="shared" si="96"/>
        <v>790.84736516630903</v>
      </c>
      <c r="P308" s="119"/>
      <c r="Q308" s="120"/>
    </row>
    <row r="309" spans="1:17" x14ac:dyDescent="0.2">
      <c r="A309">
        <v>24</v>
      </c>
      <c r="B309" s="123">
        <v>54758</v>
      </c>
      <c r="C309" s="119">
        <f t="shared" si="88"/>
        <v>61052.627989671841</v>
      </c>
      <c r="D309" s="119">
        <f t="shared" si="89"/>
        <v>177.0526211700483</v>
      </c>
      <c r="E309" s="119">
        <f t="shared" si="90"/>
        <v>1173.9473788299517</v>
      </c>
      <c r="F309" s="119">
        <v>1351</v>
      </c>
      <c r="G309" s="120"/>
      <c r="H309" s="120"/>
      <c r="I309" s="118">
        <f>I308*$A$31</f>
        <v>985.86400822691166</v>
      </c>
      <c r="J309" s="118">
        <f>(I309/$J$2)/0.66</f>
        <v>18.671666822479384</v>
      </c>
      <c r="K309" s="118">
        <f>SUM(E298:E309)</f>
        <v>13865.470253717289</v>
      </c>
      <c r="L309" s="118">
        <f>SUM(I298:I309)-SUM(D298:D309)</f>
        <v>9323.5747451915195</v>
      </c>
      <c r="M309" s="118"/>
      <c r="N309" s="118">
        <v>2500</v>
      </c>
      <c r="O309" s="119">
        <f>I309-D309</f>
        <v>808.8113870568634</v>
      </c>
      <c r="P309" s="118">
        <f>SUM(O298:O309)+M309+N309</f>
        <v>11823.574745191521</v>
      </c>
      <c r="Q309" s="118">
        <f>L309+M309+N309</f>
        <v>11823.574745191519</v>
      </c>
    </row>
    <row r="310" spans="1:17" x14ac:dyDescent="0.2">
      <c r="B310" s="123">
        <v>54789</v>
      </c>
      <c r="C310" s="119">
        <f t="shared" si="88"/>
        <v>59878.68061084189</v>
      </c>
      <c r="D310" s="119">
        <f t="shared" si="89"/>
        <v>173.64817377144149</v>
      </c>
      <c r="E310" s="119">
        <f t="shared" si="90"/>
        <v>1177.3518262285586</v>
      </c>
      <c r="F310" s="119">
        <v>1351</v>
      </c>
      <c r="G310" s="120"/>
      <c r="H310" s="120"/>
      <c r="I310" s="119">
        <f t="shared" ref="I310:I318" si="98">I309</f>
        <v>985.86400822691166</v>
      </c>
      <c r="J310" s="120"/>
      <c r="K310" s="119"/>
      <c r="L310" s="119"/>
      <c r="M310" s="119"/>
      <c r="N310" s="119"/>
      <c r="O310" s="119">
        <f t="shared" ref="O310:O320" si="99">I310-D310</f>
        <v>812.21583445547014</v>
      </c>
      <c r="P310" s="119"/>
      <c r="Q310" s="120"/>
    </row>
    <row r="311" spans="1:17" x14ac:dyDescent="0.2">
      <c r="B311" s="123">
        <v>54820</v>
      </c>
      <c r="C311" s="119">
        <f t="shared" si="88"/>
        <v>58701.328784613332</v>
      </c>
      <c r="D311" s="119">
        <f t="shared" si="89"/>
        <v>170.23385347537865</v>
      </c>
      <c r="E311" s="119">
        <f t="shared" si="90"/>
        <v>1180.7661465246213</v>
      </c>
      <c r="F311" s="119">
        <v>1351</v>
      </c>
      <c r="G311" s="120"/>
      <c r="H311" s="120"/>
      <c r="I311" s="119">
        <f t="shared" si="98"/>
        <v>985.86400822691166</v>
      </c>
      <c r="J311" s="120"/>
      <c r="K311" s="119"/>
      <c r="L311" s="119"/>
      <c r="M311" s="119"/>
      <c r="N311" s="119"/>
      <c r="O311" s="119">
        <f t="shared" si="99"/>
        <v>815.63015475153304</v>
      </c>
      <c r="P311" s="119"/>
      <c r="Q311" s="120"/>
    </row>
    <row r="312" spans="1:17" x14ac:dyDescent="0.2">
      <c r="B312" s="123">
        <v>54848</v>
      </c>
      <c r="C312" s="119">
        <f t="shared" si="88"/>
        <v>57520.562638088712</v>
      </c>
      <c r="D312" s="119">
        <f t="shared" si="89"/>
        <v>166.80963165045725</v>
      </c>
      <c r="E312" s="119">
        <f t="shared" si="90"/>
        <v>1184.1903683495427</v>
      </c>
      <c r="F312" s="119">
        <v>1351</v>
      </c>
      <c r="G312" s="120"/>
      <c r="H312" s="120"/>
      <c r="I312" s="119">
        <f t="shared" si="98"/>
        <v>985.86400822691166</v>
      </c>
      <c r="J312" s="120"/>
      <c r="K312" s="119"/>
      <c r="L312" s="119"/>
      <c r="M312" s="119"/>
      <c r="N312" s="119"/>
      <c r="O312" s="119">
        <f t="shared" si="99"/>
        <v>819.05437657645439</v>
      </c>
      <c r="P312" s="119"/>
      <c r="Q312" s="120"/>
    </row>
    <row r="313" spans="1:17" x14ac:dyDescent="0.2">
      <c r="B313" s="123">
        <v>54879</v>
      </c>
      <c r="C313" s="119">
        <f t="shared" si="88"/>
        <v>56336.372269739171</v>
      </c>
      <c r="D313" s="119">
        <f t="shared" si="89"/>
        <v>163.37547958224357</v>
      </c>
      <c r="E313" s="119">
        <f t="shared" si="90"/>
        <v>1187.6245204177565</v>
      </c>
      <c r="F313" s="119">
        <v>1351</v>
      </c>
      <c r="G313" s="120"/>
      <c r="H313" s="120"/>
      <c r="I313" s="119">
        <f t="shared" si="98"/>
        <v>985.86400822691166</v>
      </c>
      <c r="J313" s="120"/>
      <c r="K313" s="119"/>
      <c r="L313" s="119"/>
      <c r="M313" s="119"/>
      <c r="N313" s="119"/>
      <c r="O313" s="119">
        <f t="shared" si="99"/>
        <v>822.48852864466812</v>
      </c>
      <c r="P313" s="119"/>
      <c r="Q313" s="120"/>
    </row>
    <row r="314" spans="1:17" x14ac:dyDescent="0.2">
      <c r="B314" s="123">
        <v>54909</v>
      </c>
      <c r="C314" s="119">
        <f t="shared" si="88"/>
        <v>55148.747749321417</v>
      </c>
      <c r="D314" s="119">
        <f t="shared" si="89"/>
        <v>159.93136847303211</v>
      </c>
      <c r="E314" s="119">
        <f t="shared" si="90"/>
        <v>1191.0686315269679</v>
      </c>
      <c r="F314" s="119">
        <v>1351</v>
      </c>
      <c r="G314" s="120"/>
      <c r="H314" s="120"/>
      <c r="I314" s="119">
        <f t="shared" si="98"/>
        <v>985.86400822691166</v>
      </c>
      <c r="J314" s="120"/>
      <c r="K314" s="119"/>
      <c r="L314" s="119"/>
      <c r="M314" s="119"/>
      <c r="N314" s="119"/>
      <c r="O314" s="119">
        <f t="shared" si="99"/>
        <v>825.93263975387958</v>
      </c>
      <c r="P314" s="119"/>
      <c r="Q314" s="120"/>
    </row>
    <row r="315" spans="1:17" x14ac:dyDescent="0.2">
      <c r="B315" s="123">
        <v>54940</v>
      </c>
      <c r="C315" s="119">
        <f t="shared" si="88"/>
        <v>53957.679117794447</v>
      </c>
      <c r="D315" s="119">
        <f t="shared" si="89"/>
        <v>156.47726944160388</v>
      </c>
      <c r="E315" s="119">
        <f t="shared" si="90"/>
        <v>1194.5227305583962</v>
      </c>
      <c r="F315" s="119">
        <v>1351</v>
      </c>
      <c r="G315" s="120"/>
      <c r="H315" s="120"/>
      <c r="I315" s="119">
        <f t="shared" si="98"/>
        <v>985.86400822691166</v>
      </c>
      <c r="J315" s="120"/>
      <c r="K315" s="119"/>
      <c r="L315" s="119"/>
      <c r="M315" s="119"/>
      <c r="N315" s="119"/>
      <c r="O315" s="119">
        <f t="shared" si="99"/>
        <v>829.38673878530778</v>
      </c>
      <c r="P315" s="119"/>
      <c r="Q315" s="120"/>
    </row>
    <row r="316" spans="1:17" x14ac:dyDescent="0.2">
      <c r="B316" s="123">
        <v>54970</v>
      </c>
      <c r="C316" s="119">
        <f t="shared" si="88"/>
        <v>52763.156387236049</v>
      </c>
      <c r="D316" s="119">
        <f t="shared" si="89"/>
        <v>153.01315352298454</v>
      </c>
      <c r="E316" s="119">
        <f t="shared" si="90"/>
        <v>1197.9868464770154</v>
      </c>
      <c r="F316" s="119">
        <v>1351</v>
      </c>
      <c r="G316" s="120"/>
      <c r="H316" s="120"/>
      <c r="I316" s="119">
        <f t="shared" si="98"/>
        <v>985.86400822691166</v>
      </c>
      <c r="J316" s="120"/>
      <c r="K316" s="119"/>
      <c r="L316" s="119"/>
      <c r="M316" s="119"/>
      <c r="N316" s="119"/>
      <c r="O316" s="119">
        <f t="shared" si="99"/>
        <v>832.8508547039271</v>
      </c>
      <c r="P316" s="119"/>
      <c r="Q316" s="120"/>
    </row>
    <row r="317" spans="1:17" x14ac:dyDescent="0.2">
      <c r="B317" s="123">
        <v>55001</v>
      </c>
      <c r="C317" s="119">
        <f t="shared" si="88"/>
        <v>51565.16954075903</v>
      </c>
      <c r="D317" s="119">
        <f t="shared" si="89"/>
        <v>149.53899166820119</v>
      </c>
      <c r="E317" s="119">
        <f t="shared" si="90"/>
        <v>1201.4610083317989</v>
      </c>
      <c r="F317" s="119">
        <v>1351</v>
      </c>
      <c r="G317" s="120"/>
      <c r="H317" s="120"/>
      <c r="I317" s="119">
        <f t="shared" si="98"/>
        <v>985.86400822691166</v>
      </c>
      <c r="J317" s="120"/>
      <c r="K317" s="119"/>
      <c r="L317" s="119"/>
      <c r="M317" s="119"/>
      <c r="N317" s="119"/>
      <c r="O317" s="119">
        <f t="shared" si="99"/>
        <v>836.32501655871044</v>
      </c>
      <c r="P317" s="119"/>
      <c r="Q317" s="120"/>
    </row>
    <row r="318" spans="1:17" x14ac:dyDescent="0.2">
      <c r="B318" s="123">
        <v>55032</v>
      </c>
      <c r="C318" s="119">
        <f t="shared" si="88"/>
        <v>50363.708532427234</v>
      </c>
      <c r="D318" s="119">
        <f t="shared" si="89"/>
        <v>146.05475474403897</v>
      </c>
      <c r="E318" s="119">
        <f t="shared" si="90"/>
        <v>1204.945245255961</v>
      </c>
      <c r="F318" s="119">
        <v>1351</v>
      </c>
      <c r="G318" s="120"/>
      <c r="H318" s="120"/>
      <c r="I318" s="119">
        <f t="shared" si="98"/>
        <v>985.86400822691166</v>
      </c>
      <c r="J318" s="120"/>
      <c r="K318" s="119"/>
      <c r="L318" s="119"/>
      <c r="M318" s="119"/>
      <c r="N318" s="119"/>
      <c r="O318" s="119">
        <f t="shared" si="99"/>
        <v>839.80925348287269</v>
      </c>
      <c r="P318" s="119"/>
      <c r="Q318" s="120"/>
    </row>
    <row r="319" spans="1:17" x14ac:dyDescent="0.2">
      <c r="B319" s="123">
        <v>55062</v>
      </c>
      <c r="C319" s="119">
        <f t="shared" si="88"/>
        <v>49158.76328717127</v>
      </c>
      <c r="D319" s="119">
        <f t="shared" si="89"/>
        <v>142.56041353279667</v>
      </c>
      <c r="E319" s="119">
        <f t="shared" si="90"/>
        <v>1208.4395864672033</v>
      </c>
      <c r="F319" s="119">
        <v>1351</v>
      </c>
      <c r="G319" s="120"/>
      <c r="H319" s="120"/>
      <c r="I319" s="119">
        <f t="shared" ref="I319" si="100">I317</f>
        <v>985.86400822691166</v>
      </c>
      <c r="J319" s="120"/>
      <c r="K319" s="119"/>
      <c r="L319" s="119"/>
      <c r="M319" s="119"/>
      <c r="N319" s="119"/>
      <c r="O319" s="125">
        <f t="shared" si="99"/>
        <v>843.30359469411496</v>
      </c>
      <c r="P319" s="119"/>
      <c r="Q319" s="120"/>
    </row>
    <row r="320" spans="1:17" x14ac:dyDescent="0.2">
      <c r="B320" s="123">
        <v>55093</v>
      </c>
      <c r="C320" s="119">
        <f t="shared" si="88"/>
        <v>47950.323700704066</v>
      </c>
      <c r="D320" s="119">
        <f t="shared" si="89"/>
        <v>139.05593873204177</v>
      </c>
      <c r="E320" s="119">
        <f t="shared" si="90"/>
        <v>1211.9440612679582</v>
      </c>
      <c r="F320" s="119">
        <v>1351</v>
      </c>
      <c r="G320" s="120"/>
      <c r="H320" s="120"/>
      <c r="I320" s="119">
        <f>I319</f>
        <v>985.86400822691166</v>
      </c>
      <c r="J320" s="120"/>
      <c r="K320" s="119"/>
      <c r="L320" s="119"/>
      <c r="M320" s="119"/>
      <c r="N320" s="119"/>
      <c r="O320" s="125">
        <f t="shared" si="99"/>
        <v>846.80806949486987</v>
      </c>
      <c r="P320" s="119"/>
      <c r="Q320" s="120"/>
    </row>
    <row r="321" spans="1:17" x14ac:dyDescent="0.2">
      <c r="A321">
        <v>25</v>
      </c>
      <c r="B321" s="123">
        <v>55123</v>
      </c>
      <c r="C321" s="119">
        <f t="shared" si="88"/>
        <v>46738.379639436105</v>
      </c>
      <c r="D321" s="119">
        <f t="shared" si="89"/>
        <v>135.54130095436469</v>
      </c>
      <c r="E321" s="119">
        <f t="shared" si="90"/>
        <v>1215.4586990456353</v>
      </c>
      <c r="F321" s="119">
        <v>1351</v>
      </c>
      <c r="G321" s="120"/>
      <c r="H321" s="120"/>
      <c r="I321" s="118">
        <f>I320*$A$31</f>
        <v>1000.6519683503152</v>
      </c>
      <c r="J321" s="118">
        <f>(I321/$J$2)/0.66</f>
        <v>18.951741824816573</v>
      </c>
      <c r="K321" s="118">
        <f>SUM(E310:E321)</f>
        <v>14355.759670451416</v>
      </c>
      <c r="L321" s="118">
        <f>SUM(I310:I321)-SUM(D310:D321)</f>
        <v>9988.9157292977616</v>
      </c>
      <c r="M321" s="118"/>
      <c r="N321" s="118">
        <v>2500</v>
      </c>
      <c r="O321" s="119">
        <f>I321-D321</f>
        <v>865.11066739595049</v>
      </c>
      <c r="P321" s="118">
        <f>SUM(O310:O321)+M321+N321</f>
        <v>12488.91572929776</v>
      </c>
      <c r="Q321" s="118">
        <f>L321+M321+N321</f>
        <v>12488.915729297762</v>
      </c>
    </row>
    <row r="322" spans="1:17" x14ac:dyDescent="0.2">
      <c r="B322" s="123">
        <v>55154</v>
      </c>
      <c r="C322" s="119">
        <f t="shared" si="88"/>
        <v>45522.920940390468</v>
      </c>
      <c r="D322" s="119">
        <f t="shared" si="89"/>
        <v>132.01647072713234</v>
      </c>
      <c r="E322" s="119">
        <f t="shared" si="90"/>
        <v>1218.9835292728676</v>
      </c>
      <c r="F322" s="119">
        <v>1351</v>
      </c>
      <c r="G322" s="120"/>
      <c r="H322" s="120"/>
      <c r="I322" s="119">
        <f t="shared" ref="I322:I330" si="101">I321</f>
        <v>1000.6519683503152</v>
      </c>
      <c r="J322" s="120"/>
      <c r="K322" s="119"/>
      <c r="L322" s="119"/>
      <c r="M322" s="119"/>
      <c r="N322" s="119"/>
      <c r="O322" s="119">
        <f t="shared" ref="O322:O332" si="102">I322-D322</f>
        <v>868.6354976231828</v>
      </c>
      <c r="P322" s="119"/>
      <c r="Q322" s="120"/>
    </row>
    <row r="323" spans="1:17" x14ac:dyDescent="0.2">
      <c r="B323" s="123">
        <v>55185</v>
      </c>
      <c r="C323" s="119">
        <f t="shared" si="88"/>
        <v>44303.9374111176</v>
      </c>
      <c r="D323" s="119">
        <f t="shared" si="89"/>
        <v>128.48141849224103</v>
      </c>
      <c r="E323" s="119">
        <f t="shared" si="90"/>
        <v>1222.5185815077589</v>
      </c>
      <c r="F323" s="119">
        <v>1351</v>
      </c>
      <c r="G323" s="120"/>
      <c r="H323" s="120"/>
      <c r="I323" s="119">
        <f t="shared" si="101"/>
        <v>1000.6519683503152</v>
      </c>
      <c r="J323" s="120"/>
      <c r="K323" s="119"/>
      <c r="L323" s="119"/>
      <c r="M323" s="119"/>
      <c r="N323" s="119"/>
      <c r="O323" s="119">
        <f t="shared" si="102"/>
        <v>872.1705498580742</v>
      </c>
      <c r="P323" s="119"/>
      <c r="Q323" s="120"/>
    </row>
    <row r="324" spans="1:17" x14ac:dyDescent="0.2">
      <c r="B324" s="123">
        <v>55213</v>
      </c>
      <c r="C324" s="119">
        <f t="shared" si="88"/>
        <v>43081.418829609844</v>
      </c>
      <c r="D324" s="119">
        <f t="shared" si="89"/>
        <v>124.93611460586853</v>
      </c>
      <c r="E324" s="119">
        <f t="shared" si="90"/>
        <v>1226.0638853941314</v>
      </c>
      <c r="F324" s="119">
        <v>1351</v>
      </c>
      <c r="G324" s="120"/>
      <c r="H324" s="120"/>
      <c r="I324" s="119">
        <f t="shared" si="101"/>
        <v>1000.6519683503152</v>
      </c>
      <c r="J324" s="120"/>
      <c r="K324" s="119"/>
      <c r="L324" s="119"/>
      <c r="M324" s="119"/>
      <c r="N324" s="119"/>
      <c r="O324" s="119">
        <f t="shared" si="102"/>
        <v>875.71585374444669</v>
      </c>
      <c r="P324" s="119"/>
      <c r="Q324" s="120"/>
    </row>
    <row r="325" spans="1:17" x14ac:dyDescent="0.2">
      <c r="B325" s="123">
        <v>55244</v>
      </c>
      <c r="C325" s="119">
        <f t="shared" si="88"/>
        <v>41855.354944215709</v>
      </c>
      <c r="D325" s="119">
        <f t="shared" si="89"/>
        <v>121.38052933822554</v>
      </c>
      <c r="E325" s="119">
        <f t="shared" si="90"/>
        <v>1229.6194706617744</v>
      </c>
      <c r="F325" s="119">
        <v>1351</v>
      </c>
      <c r="G325" s="120"/>
      <c r="H325" s="120"/>
      <c r="I325" s="119">
        <f t="shared" si="101"/>
        <v>1000.6519683503152</v>
      </c>
      <c r="J325" s="120"/>
      <c r="K325" s="119"/>
      <c r="L325" s="119"/>
      <c r="M325" s="119"/>
      <c r="N325" s="119"/>
      <c r="O325" s="119">
        <f t="shared" si="102"/>
        <v>879.27143901208967</v>
      </c>
      <c r="P325" s="119"/>
      <c r="Q325" s="120"/>
    </row>
    <row r="326" spans="1:17" x14ac:dyDescent="0.2">
      <c r="B326" s="123">
        <v>55274</v>
      </c>
      <c r="C326" s="119">
        <f t="shared" si="88"/>
        <v>40625.735473553934</v>
      </c>
      <c r="D326" s="119">
        <f t="shared" si="89"/>
        <v>117.81463287330639</v>
      </c>
      <c r="E326" s="119">
        <f t="shared" si="90"/>
        <v>1233.1853671266936</v>
      </c>
      <c r="F326" s="119">
        <v>1351</v>
      </c>
      <c r="G326" s="120"/>
      <c r="H326" s="120"/>
      <c r="I326" s="119">
        <f t="shared" si="101"/>
        <v>1000.6519683503152</v>
      </c>
      <c r="J326" s="120"/>
      <c r="K326" s="119"/>
      <c r="L326" s="119"/>
      <c r="M326" s="119"/>
      <c r="N326" s="119"/>
      <c r="O326" s="119">
        <f t="shared" si="102"/>
        <v>882.83733547700876</v>
      </c>
      <c r="P326" s="119"/>
      <c r="Q326" s="120"/>
    </row>
    <row r="327" spans="1:17" x14ac:dyDescent="0.2">
      <c r="B327" s="123">
        <v>55305</v>
      </c>
      <c r="C327" s="119">
        <f t="shared" si="88"/>
        <v>39392.550106427239</v>
      </c>
      <c r="D327" s="119">
        <f t="shared" si="89"/>
        <v>114.23839530863899</v>
      </c>
      <c r="E327" s="119">
        <f t="shared" si="90"/>
        <v>1236.7616046913611</v>
      </c>
      <c r="F327" s="119">
        <v>1351</v>
      </c>
      <c r="G327" s="120"/>
      <c r="H327" s="120"/>
      <c r="I327" s="119">
        <f t="shared" si="101"/>
        <v>1000.6519683503152</v>
      </c>
      <c r="J327" s="120"/>
      <c r="K327" s="119"/>
      <c r="L327" s="119"/>
      <c r="M327" s="119"/>
      <c r="N327" s="119"/>
      <c r="O327" s="119">
        <f t="shared" si="102"/>
        <v>886.41357304167627</v>
      </c>
      <c r="P327" s="119"/>
      <c r="Q327" s="120"/>
    </row>
    <row r="328" spans="1:17" x14ac:dyDescent="0.2">
      <c r="B328" s="123">
        <v>55335</v>
      </c>
      <c r="C328" s="119">
        <f t="shared" si="88"/>
        <v>38155.788501735879</v>
      </c>
      <c r="D328" s="119">
        <f t="shared" si="89"/>
        <v>110.65178665503403</v>
      </c>
      <c r="E328" s="119">
        <f t="shared" si="90"/>
        <v>1240.3482133449659</v>
      </c>
      <c r="F328" s="119">
        <v>1351</v>
      </c>
      <c r="G328" s="120"/>
      <c r="H328" s="120"/>
      <c r="I328" s="119">
        <f t="shared" si="101"/>
        <v>1000.6519683503152</v>
      </c>
      <c r="J328" s="120"/>
      <c r="K328" s="119"/>
      <c r="L328" s="119"/>
      <c r="M328" s="119"/>
      <c r="N328" s="119"/>
      <c r="O328" s="119">
        <f t="shared" si="102"/>
        <v>890.00018169528119</v>
      </c>
      <c r="P328" s="119"/>
      <c r="Q328" s="120"/>
    </row>
    <row r="329" spans="1:17" x14ac:dyDescent="0.2">
      <c r="B329" s="123">
        <v>55366</v>
      </c>
      <c r="C329" s="119">
        <f t="shared" si="88"/>
        <v>36915.440288390913</v>
      </c>
      <c r="D329" s="119">
        <f t="shared" si="89"/>
        <v>107.05477683633364</v>
      </c>
      <c r="E329" s="119">
        <f t="shared" si="90"/>
        <v>1243.9452231636665</v>
      </c>
      <c r="F329" s="119">
        <v>1351</v>
      </c>
      <c r="G329" s="120"/>
      <c r="H329" s="120"/>
      <c r="I329" s="119">
        <f t="shared" si="101"/>
        <v>1000.6519683503152</v>
      </c>
      <c r="J329" s="120"/>
      <c r="K329" s="119"/>
      <c r="L329" s="119"/>
      <c r="M329" s="119"/>
      <c r="N329" s="119"/>
      <c r="O329" s="119">
        <f t="shared" si="102"/>
        <v>893.59719151398156</v>
      </c>
      <c r="P329" s="119"/>
      <c r="Q329" s="120"/>
    </row>
    <row r="330" spans="1:17" x14ac:dyDescent="0.2">
      <c r="B330" s="123">
        <v>55397</v>
      </c>
      <c r="C330" s="119">
        <f t="shared" si="88"/>
        <v>35671.495065227246</v>
      </c>
      <c r="D330" s="119">
        <f t="shared" si="89"/>
        <v>103.447335689159</v>
      </c>
      <c r="E330" s="119">
        <f t="shared" si="90"/>
        <v>1247.552664310841</v>
      </c>
      <c r="F330" s="119">
        <v>1351</v>
      </c>
      <c r="G330" s="120"/>
      <c r="H330" s="120"/>
      <c r="I330" s="119">
        <f t="shared" si="101"/>
        <v>1000.6519683503152</v>
      </c>
      <c r="J330" s="120"/>
      <c r="K330" s="119"/>
      <c r="L330" s="119"/>
      <c r="M330" s="119"/>
      <c r="N330" s="119"/>
      <c r="O330" s="119">
        <f t="shared" si="102"/>
        <v>897.20463266115621</v>
      </c>
      <c r="P330" s="119"/>
      <c r="Q330" s="120"/>
    </row>
    <row r="331" spans="1:17" x14ac:dyDescent="0.2">
      <c r="B331" s="123">
        <v>55427</v>
      </c>
      <c r="C331" s="119">
        <f t="shared" si="88"/>
        <v>34423.942400916407</v>
      </c>
      <c r="D331" s="119">
        <f t="shared" si="89"/>
        <v>99.829432962657577</v>
      </c>
      <c r="E331" s="119">
        <f t="shared" si="90"/>
        <v>1251.1705670373424</v>
      </c>
      <c r="F331" s="119">
        <v>1351</v>
      </c>
      <c r="G331" s="120"/>
      <c r="H331" s="120"/>
      <c r="I331" s="119">
        <f t="shared" ref="I331" si="103">I329</f>
        <v>1000.6519683503152</v>
      </c>
      <c r="J331" s="120"/>
      <c r="K331" s="119"/>
      <c r="L331" s="119"/>
      <c r="M331" s="119"/>
      <c r="N331" s="119"/>
      <c r="O331" s="125">
        <f t="shared" si="102"/>
        <v>900.82253538765758</v>
      </c>
      <c r="P331" s="119"/>
      <c r="Q331" s="120"/>
    </row>
    <row r="332" spans="1:17" x14ac:dyDescent="0.2">
      <c r="B332" s="123">
        <v>55458</v>
      </c>
      <c r="C332" s="119">
        <f t="shared" si="88"/>
        <v>33172.771833879066</v>
      </c>
      <c r="D332" s="119">
        <f t="shared" si="89"/>
        <v>96.201038318249289</v>
      </c>
      <c r="E332" s="119">
        <f t="shared" si="90"/>
        <v>1254.7989616817508</v>
      </c>
      <c r="F332" s="119">
        <v>1351</v>
      </c>
      <c r="G332" s="120"/>
      <c r="H332" s="120"/>
      <c r="I332" s="119">
        <f>I331</f>
        <v>1000.6519683503152</v>
      </c>
      <c r="J332" s="120"/>
      <c r="K332" s="119"/>
      <c r="L332" s="119"/>
      <c r="M332" s="119"/>
      <c r="N332" s="119"/>
      <c r="O332" s="125">
        <f t="shared" si="102"/>
        <v>904.45093003206591</v>
      </c>
      <c r="P332" s="119"/>
      <c r="Q332" s="120"/>
    </row>
    <row r="333" spans="1:17" x14ac:dyDescent="0.2">
      <c r="A333">
        <v>26</v>
      </c>
      <c r="B333" s="123">
        <v>55488</v>
      </c>
      <c r="C333" s="119">
        <f t="shared" si="88"/>
        <v>31917.972872197315</v>
      </c>
      <c r="D333" s="119">
        <f t="shared" si="89"/>
        <v>92.562121329372204</v>
      </c>
      <c r="E333" s="119">
        <f t="shared" si="90"/>
        <v>1258.4378786706277</v>
      </c>
      <c r="F333" s="119">
        <v>1351</v>
      </c>
      <c r="G333" s="120"/>
      <c r="H333" s="120"/>
      <c r="I333" s="118">
        <f>I332*$A$31</f>
        <v>1015.6617478755699</v>
      </c>
      <c r="J333" s="118">
        <f>(I333/$J$2)/0.66</f>
        <v>19.236017952188824</v>
      </c>
      <c r="K333" s="118">
        <f>SUM(E322:E333)</f>
        <v>14863.38594686378</v>
      </c>
      <c r="L333" s="118">
        <f>SUM(I322:I333)-SUM(D322:D333)</f>
        <v>10674.219346592823</v>
      </c>
      <c r="M333" s="118"/>
      <c r="N333" s="118">
        <v>2500</v>
      </c>
      <c r="O333" s="119">
        <f>I333-D333</f>
        <v>923.09962654619767</v>
      </c>
      <c r="P333" s="118">
        <f>SUM(O322:O333)+M333+N333</f>
        <v>13174.219346592818</v>
      </c>
      <c r="Q333" s="118">
        <f>L333+M333+N333</f>
        <v>13174.219346592823</v>
      </c>
    </row>
    <row r="334" spans="1:17" x14ac:dyDescent="0.2">
      <c r="B334" s="123">
        <v>55519</v>
      </c>
      <c r="C334" s="119">
        <f t="shared" si="88"/>
        <v>30659.534993526686</v>
      </c>
      <c r="D334" s="119">
        <f t="shared" si="89"/>
        <v>88.912651481227385</v>
      </c>
      <c r="E334" s="119">
        <f t="shared" si="90"/>
        <v>1262.0873485187726</v>
      </c>
      <c r="F334" s="119">
        <v>1351</v>
      </c>
      <c r="G334" s="120"/>
      <c r="H334" s="120"/>
      <c r="I334" s="119">
        <f t="shared" ref="I334:I342" si="104">I333</f>
        <v>1015.6617478755699</v>
      </c>
      <c r="J334" s="120"/>
      <c r="K334" s="119"/>
      <c r="L334" s="119"/>
      <c r="M334" s="119"/>
      <c r="N334" s="119"/>
      <c r="O334" s="119">
        <f t="shared" ref="O334:O344" si="105">I334-D334</f>
        <v>926.74909639434247</v>
      </c>
      <c r="P334" s="119"/>
      <c r="Q334" s="120"/>
    </row>
    <row r="335" spans="1:17" x14ac:dyDescent="0.2">
      <c r="B335" s="123">
        <v>55550</v>
      </c>
      <c r="C335" s="119">
        <f t="shared" si="88"/>
        <v>29397.447645007913</v>
      </c>
      <c r="D335" s="119">
        <f t="shared" si="89"/>
        <v>85.252598170522944</v>
      </c>
      <c r="E335" s="119">
        <f t="shared" si="90"/>
        <v>1265.747401829477</v>
      </c>
      <c r="F335" s="119">
        <v>1351</v>
      </c>
      <c r="G335" s="120"/>
      <c r="H335" s="120"/>
      <c r="I335" s="119">
        <f t="shared" si="104"/>
        <v>1015.6617478755699</v>
      </c>
      <c r="J335" s="120"/>
      <c r="K335" s="119"/>
      <c r="L335" s="119"/>
      <c r="M335" s="119"/>
      <c r="N335" s="119"/>
      <c r="O335" s="119">
        <f t="shared" si="105"/>
        <v>930.40914970504696</v>
      </c>
      <c r="P335" s="119"/>
      <c r="Q335" s="120"/>
    </row>
    <row r="336" spans="1:17" x14ac:dyDescent="0.2">
      <c r="B336" s="123">
        <v>55579</v>
      </c>
      <c r="C336" s="119">
        <f t="shared" si="88"/>
        <v>28131.700243178435</v>
      </c>
      <c r="D336" s="119">
        <f t="shared" si="89"/>
        <v>81.581930705217459</v>
      </c>
      <c r="E336" s="119">
        <f t="shared" si="90"/>
        <v>1269.4180692947825</v>
      </c>
      <c r="F336" s="119">
        <v>1351</v>
      </c>
      <c r="G336" s="120"/>
      <c r="H336" s="120"/>
      <c r="I336" s="119">
        <f t="shared" si="104"/>
        <v>1015.6617478755699</v>
      </c>
      <c r="J336" s="120"/>
      <c r="K336" s="119"/>
      <c r="L336" s="119"/>
      <c r="M336" s="119"/>
      <c r="N336" s="119"/>
      <c r="O336" s="119">
        <f t="shared" si="105"/>
        <v>934.07981717035238</v>
      </c>
      <c r="P336" s="119"/>
      <c r="Q336" s="120"/>
    </row>
    <row r="337" spans="1:17" x14ac:dyDescent="0.2">
      <c r="B337" s="123">
        <v>55610</v>
      </c>
      <c r="C337" s="119">
        <f t="shared" si="88"/>
        <v>26862.282173883654</v>
      </c>
      <c r="D337" s="119">
        <f t="shared" si="89"/>
        <v>77.900618304262593</v>
      </c>
      <c r="E337" s="119">
        <f t="shared" si="90"/>
        <v>1273.0993816957375</v>
      </c>
      <c r="F337" s="119">
        <v>1351</v>
      </c>
      <c r="G337" s="120"/>
      <c r="H337" s="120"/>
      <c r="I337" s="119">
        <f t="shared" si="104"/>
        <v>1015.6617478755699</v>
      </c>
      <c r="J337" s="120"/>
      <c r="K337" s="119"/>
      <c r="L337" s="119"/>
      <c r="M337" s="119"/>
      <c r="N337" s="119"/>
      <c r="O337" s="119">
        <f t="shared" si="105"/>
        <v>937.76112957130726</v>
      </c>
      <c r="P337" s="119"/>
      <c r="Q337" s="120"/>
    </row>
    <row r="338" spans="1:17" x14ac:dyDescent="0.2">
      <c r="B338" s="123">
        <v>55640</v>
      </c>
      <c r="C338" s="119">
        <f t="shared" si="88"/>
        <v>25589.182792187916</v>
      </c>
      <c r="D338" s="119">
        <f t="shared" si="89"/>
        <v>74.208630097344951</v>
      </c>
      <c r="E338" s="119">
        <f t="shared" si="90"/>
        <v>1276.7913699026551</v>
      </c>
      <c r="F338" s="119">
        <v>1351</v>
      </c>
      <c r="G338" s="120"/>
      <c r="H338" s="120"/>
      <c r="I338" s="119">
        <f t="shared" si="104"/>
        <v>1015.6617478755699</v>
      </c>
      <c r="J338" s="120"/>
      <c r="K338" s="119"/>
      <c r="L338" s="119"/>
      <c r="M338" s="119"/>
      <c r="N338" s="119"/>
      <c r="O338" s="119">
        <f t="shared" si="105"/>
        <v>941.45311777822485</v>
      </c>
      <c r="P338" s="119"/>
      <c r="Q338" s="120"/>
    </row>
    <row r="339" spans="1:17" x14ac:dyDescent="0.2">
      <c r="B339" s="123">
        <v>55671</v>
      </c>
      <c r="C339" s="119">
        <f t="shared" si="88"/>
        <v>24312.391422285262</v>
      </c>
      <c r="D339" s="119">
        <f t="shared" si="89"/>
        <v>70.505935124627257</v>
      </c>
      <c r="E339" s="119">
        <f t="shared" si="90"/>
        <v>1280.4940648753727</v>
      </c>
      <c r="F339" s="119">
        <v>1351</v>
      </c>
      <c r="G339" s="120"/>
      <c r="H339" s="120"/>
      <c r="I339" s="119">
        <f t="shared" si="104"/>
        <v>1015.6617478755699</v>
      </c>
      <c r="J339" s="120"/>
      <c r="K339" s="119"/>
      <c r="L339" s="119"/>
      <c r="M339" s="119"/>
      <c r="N339" s="119"/>
      <c r="O339" s="119">
        <f t="shared" si="105"/>
        <v>945.15581275094257</v>
      </c>
      <c r="P339" s="119"/>
      <c r="Q339" s="120"/>
    </row>
    <row r="340" spans="1:17" x14ac:dyDescent="0.2">
      <c r="B340" s="123">
        <v>55701</v>
      </c>
      <c r="C340" s="119">
        <f t="shared" ref="C340:C357" si="106">C339-E339</f>
        <v>23031.897357409889</v>
      </c>
      <c r="D340" s="119">
        <f t="shared" ref="D340:D357" si="107">(C340*S$2)/12</f>
        <v>66.792502336488681</v>
      </c>
      <c r="E340" s="119">
        <f t="shared" ref="E340:E357" si="108">F340-D340</f>
        <v>1284.2074976635113</v>
      </c>
      <c r="F340" s="119">
        <v>1351</v>
      </c>
      <c r="G340" s="120"/>
      <c r="H340" s="120"/>
      <c r="I340" s="119">
        <f t="shared" si="104"/>
        <v>1015.6617478755699</v>
      </c>
      <c r="J340" s="120"/>
      <c r="K340" s="119"/>
      <c r="L340" s="119"/>
      <c r="M340" s="119"/>
      <c r="N340" s="119"/>
      <c r="O340" s="119">
        <f t="shared" si="105"/>
        <v>948.86924553908113</v>
      </c>
      <c r="P340" s="119"/>
      <c r="Q340" s="120"/>
    </row>
    <row r="341" spans="1:17" x14ac:dyDescent="0.2">
      <c r="B341" s="123">
        <v>55732</v>
      </c>
      <c r="C341" s="119">
        <f t="shared" si="106"/>
        <v>21747.689859746377</v>
      </c>
      <c r="D341" s="119">
        <f t="shared" si="107"/>
        <v>63.068300593264489</v>
      </c>
      <c r="E341" s="119">
        <f t="shared" si="108"/>
        <v>1287.9316994067356</v>
      </c>
      <c r="F341" s="119">
        <v>1351</v>
      </c>
      <c r="G341" s="120"/>
      <c r="H341" s="120"/>
      <c r="I341" s="119">
        <f t="shared" si="104"/>
        <v>1015.6617478755699</v>
      </c>
      <c r="J341" s="120"/>
      <c r="K341" s="119"/>
      <c r="L341" s="119"/>
      <c r="M341" s="119"/>
      <c r="N341" s="119"/>
      <c r="O341" s="119">
        <f t="shared" si="105"/>
        <v>952.59344728230542</v>
      </c>
      <c r="P341" s="119"/>
      <c r="Q341" s="120"/>
    </row>
    <row r="342" spans="1:17" x14ac:dyDescent="0.2">
      <c r="B342" s="123">
        <v>55763</v>
      </c>
      <c r="C342" s="119">
        <f t="shared" si="106"/>
        <v>20459.758160339643</v>
      </c>
      <c r="D342" s="119">
        <f t="shared" si="107"/>
        <v>59.333298664984959</v>
      </c>
      <c r="E342" s="119">
        <f t="shared" si="108"/>
        <v>1291.666701335015</v>
      </c>
      <c r="F342" s="119">
        <v>1351</v>
      </c>
      <c r="G342" s="120"/>
      <c r="H342" s="120"/>
      <c r="I342" s="119">
        <f t="shared" si="104"/>
        <v>1015.6617478755699</v>
      </c>
      <c r="J342" s="120"/>
      <c r="K342" s="119"/>
      <c r="L342" s="119"/>
      <c r="M342" s="119"/>
      <c r="N342" s="119"/>
      <c r="O342" s="119">
        <f t="shared" si="105"/>
        <v>956.32844921058495</v>
      </c>
      <c r="P342" s="119"/>
      <c r="Q342" s="120"/>
    </row>
    <row r="343" spans="1:17" x14ac:dyDescent="0.2">
      <c r="B343" s="123">
        <v>55793</v>
      </c>
      <c r="C343" s="119">
        <f t="shared" si="106"/>
        <v>19168.091459004627</v>
      </c>
      <c r="D343" s="119">
        <f t="shared" si="107"/>
        <v>55.587465231113413</v>
      </c>
      <c r="E343" s="119">
        <f t="shared" si="108"/>
        <v>1295.4125347688866</v>
      </c>
      <c r="F343" s="119">
        <v>1351</v>
      </c>
      <c r="G343" s="120"/>
      <c r="H343" s="120"/>
      <c r="I343" s="119">
        <f t="shared" ref="I343" si="109">I341</f>
        <v>1015.6617478755699</v>
      </c>
      <c r="J343" s="120"/>
      <c r="K343" s="119"/>
      <c r="L343" s="119"/>
      <c r="M343" s="119"/>
      <c r="N343" s="119"/>
      <c r="O343" s="125">
        <f t="shared" si="105"/>
        <v>960.07428264445639</v>
      </c>
      <c r="P343" s="119"/>
      <c r="Q343" s="120"/>
    </row>
    <row r="344" spans="1:17" x14ac:dyDescent="0.2">
      <c r="B344" s="123">
        <v>55824</v>
      </c>
      <c r="C344" s="119">
        <f t="shared" si="106"/>
        <v>17872.678924235741</v>
      </c>
      <c r="D344" s="119">
        <f t="shared" si="107"/>
        <v>51.830768880283642</v>
      </c>
      <c r="E344" s="119">
        <f t="shared" si="108"/>
        <v>1299.1692311197164</v>
      </c>
      <c r="F344" s="119">
        <v>1351</v>
      </c>
      <c r="G344" s="120"/>
      <c r="H344" s="120"/>
      <c r="I344" s="119">
        <f>I343</f>
        <v>1015.6617478755699</v>
      </c>
      <c r="J344" s="120"/>
      <c r="K344" s="119"/>
      <c r="L344" s="119"/>
      <c r="M344" s="119"/>
      <c r="N344" s="119"/>
      <c r="O344" s="125">
        <f t="shared" si="105"/>
        <v>963.83097899528616</v>
      </c>
      <c r="P344" s="119"/>
      <c r="Q344" s="120"/>
    </row>
    <row r="345" spans="1:17" x14ac:dyDescent="0.2">
      <c r="A345">
        <v>27</v>
      </c>
      <c r="B345" s="123">
        <v>55854</v>
      </c>
      <c r="C345" s="119">
        <f t="shared" si="106"/>
        <v>16573.509693116026</v>
      </c>
      <c r="D345" s="119">
        <f t="shared" si="107"/>
        <v>48.063178110036468</v>
      </c>
      <c r="E345" s="119">
        <f t="shared" si="108"/>
        <v>1302.9368218899635</v>
      </c>
      <c r="F345" s="119">
        <v>1351</v>
      </c>
      <c r="G345" s="120"/>
      <c r="H345" s="120"/>
      <c r="I345" s="118">
        <f>I344*$A$31</f>
        <v>1030.8966740937033</v>
      </c>
      <c r="J345" s="118">
        <f>(I345/$J$2)/0.66</f>
        <v>19.524558221471651</v>
      </c>
      <c r="K345" s="118">
        <f>SUM(E334:E345)</f>
        <v>15388.962122300625</v>
      </c>
      <c r="L345" s="118">
        <f>SUM(I334:I345)-SUM(D334:D345)</f>
        <v>11380.138023025598</v>
      </c>
      <c r="M345" s="118"/>
      <c r="N345" s="118">
        <v>2500</v>
      </c>
      <c r="O345" s="119">
        <f>I345-D345</f>
        <v>982.83349598366681</v>
      </c>
      <c r="P345" s="118">
        <f>SUM(O334:O345)+M345+N345</f>
        <v>13880.138023025596</v>
      </c>
      <c r="Q345" s="118">
        <f>L345+M345+N345</f>
        <v>13880.138023025598</v>
      </c>
    </row>
    <row r="346" spans="1:17" x14ac:dyDescent="0.2">
      <c r="B346" s="123">
        <v>55885</v>
      </c>
      <c r="C346" s="119">
        <f t="shared" si="106"/>
        <v>15270.572871226062</v>
      </c>
      <c r="D346" s="119">
        <f t="shared" si="107"/>
        <v>44.284661326555579</v>
      </c>
      <c r="E346" s="119">
        <f t="shared" si="108"/>
        <v>1306.7153386734444</v>
      </c>
      <c r="F346" s="119">
        <v>1351</v>
      </c>
      <c r="G346" s="120"/>
      <c r="H346" s="120"/>
      <c r="I346" s="119">
        <f t="shared" ref="I346:I354" si="110">I345</f>
        <v>1030.8966740937033</v>
      </c>
      <c r="J346" s="120"/>
      <c r="K346" s="119"/>
      <c r="L346" s="119"/>
      <c r="M346" s="119"/>
      <c r="N346" s="119"/>
      <c r="O346" s="119">
        <f t="shared" ref="O346:O356" si="111">I346-D346</f>
        <v>986.61201276714769</v>
      </c>
      <c r="P346" s="119"/>
      <c r="Q346" s="120"/>
    </row>
    <row r="347" spans="1:17" x14ac:dyDescent="0.2">
      <c r="B347" s="123">
        <v>55916</v>
      </c>
      <c r="C347" s="119">
        <f t="shared" si="106"/>
        <v>13963.857532552618</v>
      </c>
      <c r="D347" s="119">
        <f t="shared" si="107"/>
        <v>40.495186844402589</v>
      </c>
      <c r="E347" s="119">
        <f t="shared" si="108"/>
        <v>1310.5048131555975</v>
      </c>
      <c r="F347" s="119">
        <v>1351</v>
      </c>
      <c r="G347" s="120"/>
      <c r="H347" s="120"/>
      <c r="I347" s="119">
        <f t="shared" si="110"/>
        <v>1030.8966740937033</v>
      </c>
      <c r="J347" s="120"/>
      <c r="K347" s="119"/>
      <c r="L347" s="119"/>
      <c r="M347" s="119"/>
      <c r="N347" s="119"/>
      <c r="O347" s="119">
        <f t="shared" si="111"/>
        <v>990.40148724930066</v>
      </c>
      <c r="P347" s="119"/>
      <c r="Q347" s="120"/>
    </row>
    <row r="348" spans="1:17" x14ac:dyDescent="0.2">
      <c r="B348" s="123">
        <v>55944</v>
      </c>
      <c r="C348" s="119">
        <f t="shared" si="106"/>
        <v>12653.35271939702</v>
      </c>
      <c r="D348" s="119">
        <f t="shared" si="107"/>
        <v>36.694722886251355</v>
      </c>
      <c r="E348" s="119">
        <f t="shared" si="108"/>
        <v>1314.3052771137486</v>
      </c>
      <c r="F348" s="119">
        <v>1351</v>
      </c>
      <c r="G348" s="120"/>
      <c r="H348" s="120"/>
      <c r="I348" s="119">
        <f t="shared" si="110"/>
        <v>1030.8966740937033</v>
      </c>
      <c r="J348" s="120"/>
      <c r="K348" s="119"/>
      <c r="L348" s="119"/>
      <c r="M348" s="119"/>
      <c r="N348" s="119"/>
      <c r="O348" s="119">
        <f t="shared" si="111"/>
        <v>994.20195120745188</v>
      </c>
      <c r="P348" s="119"/>
      <c r="Q348" s="120"/>
    </row>
    <row r="349" spans="1:17" x14ac:dyDescent="0.2">
      <c r="B349" s="123">
        <v>55975</v>
      </c>
      <c r="C349" s="119">
        <f t="shared" si="106"/>
        <v>11339.047442283272</v>
      </c>
      <c r="D349" s="119">
        <f t="shared" si="107"/>
        <v>32.883237582621483</v>
      </c>
      <c r="E349" s="119">
        <f t="shared" si="108"/>
        <v>1318.1167624173786</v>
      </c>
      <c r="F349" s="119">
        <v>1351</v>
      </c>
      <c r="G349" s="120"/>
      <c r="H349" s="120"/>
      <c r="I349" s="119">
        <f t="shared" si="110"/>
        <v>1030.8966740937033</v>
      </c>
      <c r="J349" s="120"/>
      <c r="K349" s="119"/>
      <c r="L349" s="119"/>
      <c r="M349" s="119"/>
      <c r="N349" s="119"/>
      <c r="O349" s="119">
        <f t="shared" si="111"/>
        <v>998.01343651108175</v>
      </c>
      <c r="P349" s="119"/>
      <c r="Q349" s="120"/>
    </row>
    <row r="350" spans="1:17" x14ac:dyDescent="0.2">
      <c r="B350" s="123">
        <v>56005</v>
      </c>
      <c r="C350" s="119">
        <f t="shared" si="106"/>
        <v>10020.930679865894</v>
      </c>
      <c r="D350" s="119">
        <f t="shared" si="107"/>
        <v>29.060698971611092</v>
      </c>
      <c r="E350" s="119">
        <f t="shared" si="108"/>
        <v>1321.9393010283889</v>
      </c>
      <c r="F350" s="119">
        <v>1351</v>
      </c>
      <c r="G350" s="120"/>
      <c r="H350" s="120"/>
      <c r="I350" s="119">
        <f t="shared" si="110"/>
        <v>1030.8966740937033</v>
      </c>
      <c r="J350" s="120"/>
      <c r="K350" s="119"/>
      <c r="L350" s="119"/>
      <c r="M350" s="119"/>
      <c r="N350" s="119"/>
      <c r="O350" s="119">
        <f t="shared" si="111"/>
        <v>1001.8359751220921</v>
      </c>
      <c r="P350" s="119"/>
      <c r="Q350" s="120"/>
    </row>
    <row r="351" spans="1:17" x14ac:dyDescent="0.2">
      <c r="B351" s="123">
        <v>56036</v>
      </c>
      <c r="C351" s="119">
        <f t="shared" si="106"/>
        <v>8698.9913788375052</v>
      </c>
      <c r="D351" s="119">
        <f t="shared" si="107"/>
        <v>25.227074998628765</v>
      </c>
      <c r="E351" s="119">
        <f t="shared" si="108"/>
        <v>1325.7729250013713</v>
      </c>
      <c r="F351" s="119">
        <v>1351</v>
      </c>
      <c r="G351" s="120"/>
      <c r="H351" s="120"/>
      <c r="I351" s="119">
        <f t="shared" si="110"/>
        <v>1030.8966740937033</v>
      </c>
      <c r="J351" s="120"/>
      <c r="K351" s="119"/>
      <c r="L351" s="119"/>
      <c r="M351" s="119"/>
      <c r="N351" s="119"/>
      <c r="O351" s="119">
        <f t="shared" si="111"/>
        <v>1005.6695990950745</v>
      </c>
      <c r="P351" s="119"/>
      <c r="Q351" s="120"/>
    </row>
    <row r="352" spans="1:17" x14ac:dyDescent="0.2">
      <c r="B352" s="123">
        <v>56066</v>
      </c>
      <c r="C352" s="119">
        <f t="shared" si="106"/>
        <v>7373.2184538361344</v>
      </c>
      <c r="D352" s="119">
        <f t="shared" si="107"/>
        <v>21.382333516124788</v>
      </c>
      <c r="E352" s="119">
        <f t="shared" si="108"/>
        <v>1329.6176664838752</v>
      </c>
      <c r="F352" s="119">
        <v>1351</v>
      </c>
      <c r="G352" s="120"/>
      <c r="H352" s="120"/>
      <c r="I352" s="119">
        <f t="shared" si="110"/>
        <v>1030.8966740937033</v>
      </c>
      <c r="J352" s="120"/>
      <c r="K352" s="119"/>
      <c r="L352" s="119"/>
      <c r="M352" s="119"/>
      <c r="N352" s="119"/>
      <c r="O352" s="119">
        <f t="shared" si="111"/>
        <v>1009.5143405775784</v>
      </c>
      <c r="P352" s="119"/>
      <c r="Q352" s="120"/>
    </row>
    <row r="353" spans="1:17" x14ac:dyDescent="0.2">
      <c r="B353" s="123">
        <v>56097</v>
      </c>
      <c r="C353" s="119">
        <f t="shared" si="106"/>
        <v>6043.6007873522594</v>
      </c>
      <c r="D353" s="119">
        <f t="shared" si="107"/>
        <v>17.526442283321551</v>
      </c>
      <c r="E353" s="119">
        <f t="shared" si="108"/>
        <v>1333.4735577166784</v>
      </c>
      <c r="F353" s="119">
        <v>1351</v>
      </c>
      <c r="G353" s="120"/>
      <c r="H353" s="120"/>
      <c r="I353" s="119">
        <f t="shared" si="110"/>
        <v>1030.8966740937033</v>
      </c>
      <c r="J353" s="120"/>
      <c r="K353" s="119"/>
      <c r="L353" s="119"/>
      <c r="M353" s="119"/>
      <c r="N353" s="119"/>
      <c r="O353" s="119">
        <f t="shared" si="111"/>
        <v>1013.3702318103817</v>
      </c>
      <c r="P353" s="119"/>
      <c r="Q353" s="120"/>
    </row>
    <row r="354" spans="1:17" x14ac:dyDescent="0.2">
      <c r="B354" s="123">
        <v>56128</v>
      </c>
      <c r="C354" s="119">
        <f t="shared" si="106"/>
        <v>4710.127229635581</v>
      </c>
      <c r="D354" s="119">
        <f t="shared" si="107"/>
        <v>13.659368965943186</v>
      </c>
      <c r="E354" s="119">
        <f t="shared" si="108"/>
        <v>1337.3406310340567</v>
      </c>
      <c r="F354" s="119">
        <v>1351</v>
      </c>
      <c r="G354" s="120"/>
      <c r="H354" s="120"/>
      <c r="I354" s="119">
        <f t="shared" si="110"/>
        <v>1030.8966740937033</v>
      </c>
      <c r="J354" s="120"/>
      <c r="K354" s="119"/>
      <c r="L354" s="119"/>
      <c r="M354" s="119"/>
      <c r="N354" s="119"/>
      <c r="O354" s="119">
        <f t="shared" si="111"/>
        <v>1017.2373051277601</v>
      </c>
      <c r="P354" s="119"/>
      <c r="Q354" s="120"/>
    </row>
    <row r="355" spans="1:17" x14ac:dyDescent="0.2">
      <c r="B355" s="123">
        <v>56158</v>
      </c>
      <c r="C355" s="119">
        <f t="shared" si="106"/>
        <v>3372.786598601524</v>
      </c>
      <c r="D355" s="119">
        <f t="shared" si="107"/>
        <v>9.7810811359444187</v>
      </c>
      <c r="E355" s="119">
        <f t="shared" si="108"/>
        <v>1341.2189188640555</v>
      </c>
      <c r="F355" s="119">
        <v>1351</v>
      </c>
      <c r="G355" s="120"/>
      <c r="H355" s="120"/>
      <c r="I355" s="119">
        <f t="shared" ref="I355" si="112">I353</f>
        <v>1030.8966740937033</v>
      </c>
      <c r="J355" s="120"/>
      <c r="K355" s="119"/>
      <c r="L355" s="119"/>
      <c r="M355" s="119"/>
      <c r="N355" s="119"/>
      <c r="O355" s="125">
        <f t="shared" si="111"/>
        <v>1021.1155929577588</v>
      </c>
      <c r="P355" s="119"/>
      <c r="Q355" s="120"/>
    </row>
    <row r="356" spans="1:17" x14ac:dyDescent="0.2">
      <c r="B356" s="123">
        <v>56189</v>
      </c>
      <c r="C356" s="119">
        <f t="shared" si="106"/>
        <v>2031.5676797374686</v>
      </c>
      <c r="D356" s="119">
        <f t="shared" si="107"/>
        <v>5.891546271238659</v>
      </c>
      <c r="E356" s="119">
        <f t="shared" si="108"/>
        <v>1345.1084537287613</v>
      </c>
      <c r="F356" s="119">
        <v>1351</v>
      </c>
      <c r="G356" s="120"/>
      <c r="H356" s="120"/>
      <c r="I356" s="119">
        <f>I355</f>
        <v>1030.8966740937033</v>
      </c>
      <c r="J356" s="120"/>
      <c r="K356" s="119"/>
      <c r="L356" s="119"/>
      <c r="M356" s="119"/>
      <c r="N356" s="119"/>
      <c r="O356" s="125">
        <f t="shared" si="111"/>
        <v>1025.0051278224646</v>
      </c>
      <c r="P356" s="119"/>
      <c r="Q356" s="120"/>
    </row>
    <row r="357" spans="1:17" x14ac:dyDescent="0.2">
      <c r="A357">
        <v>28</v>
      </c>
      <c r="B357" s="123">
        <v>56219</v>
      </c>
      <c r="C357" s="119">
        <f t="shared" si="106"/>
        <v>686.45922600870722</v>
      </c>
      <c r="D357" s="119">
        <f t="shared" si="107"/>
        <v>1.9907317554252508</v>
      </c>
      <c r="E357" s="119">
        <f t="shared" si="108"/>
        <v>1349.0092682445747</v>
      </c>
      <c r="F357" s="119">
        <v>1351</v>
      </c>
      <c r="G357" s="120"/>
      <c r="H357" s="120"/>
      <c r="I357" s="118">
        <f>I356*$A$31</f>
        <v>1046.3601242051086</v>
      </c>
      <c r="J357" s="118">
        <f>(I357/$J$2)/0.66</f>
        <v>19.817426594793723</v>
      </c>
      <c r="K357" s="118">
        <f>SUM(E346:E357)</f>
        <v>15933.122913461928</v>
      </c>
      <c r="L357" s="118">
        <f>SUM(I346:I357)-SUM(D346:D357)</f>
        <v>12107.346452697775</v>
      </c>
      <c r="M357" s="118"/>
      <c r="N357" s="118">
        <v>2500</v>
      </c>
      <c r="O357" s="119">
        <f>I357-D357</f>
        <v>1044.3693924496833</v>
      </c>
      <c r="P357" s="118">
        <f>SUM(O346:O357)+M357+N357</f>
        <v>14607.346452697777</v>
      </c>
      <c r="Q357" s="118">
        <f>L357+M357+N357</f>
        <v>14607.346452697775</v>
      </c>
    </row>
    <row r="358" spans="1:17" x14ac:dyDescent="0.2">
      <c r="B358" s="123">
        <v>56250</v>
      </c>
      <c r="C358" s="119">
        <v>0</v>
      </c>
      <c r="D358" s="119">
        <v>0</v>
      </c>
      <c r="E358" s="119">
        <f>F358</f>
        <v>688.44995776413248</v>
      </c>
      <c r="F358" s="119">
        <f>C357+D357</f>
        <v>688.44995776413248</v>
      </c>
      <c r="G358" s="120"/>
      <c r="H358" s="120"/>
      <c r="I358" s="119">
        <f t="shared" ref="I358:I366" si="113">I357</f>
        <v>1046.3601242051086</v>
      </c>
      <c r="J358" s="120"/>
      <c r="K358" s="119"/>
      <c r="L358" s="119"/>
      <c r="M358" s="119"/>
      <c r="N358" s="119"/>
      <c r="O358" s="119">
        <f t="shared" ref="O358:O368" si="114">I358-D358</f>
        <v>1046.3601242051086</v>
      </c>
      <c r="P358" s="119"/>
      <c r="Q358" s="120"/>
    </row>
    <row r="359" spans="1:17" x14ac:dyDescent="0.2">
      <c r="B359" s="123">
        <v>56281</v>
      </c>
      <c r="C359" s="119">
        <v>0</v>
      </c>
      <c r="D359" s="119">
        <v>0</v>
      </c>
      <c r="E359" s="119">
        <v>0</v>
      </c>
      <c r="F359" s="119">
        <v>0</v>
      </c>
      <c r="G359" s="120"/>
      <c r="H359" s="120"/>
      <c r="I359" s="119">
        <f t="shared" si="113"/>
        <v>1046.3601242051086</v>
      </c>
      <c r="J359" s="120"/>
      <c r="K359" s="119"/>
      <c r="L359" s="119"/>
      <c r="M359" s="119"/>
      <c r="N359" s="119"/>
      <c r="O359" s="119">
        <f t="shared" si="114"/>
        <v>1046.3601242051086</v>
      </c>
      <c r="P359" s="119"/>
      <c r="Q359" s="120"/>
    </row>
    <row r="360" spans="1:17" x14ac:dyDescent="0.2">
      <c r="B360" s="123">
        <v>56309</v>
      </c>
      <c r="C360" s="119">
        <v>0</v>
      </c>
      <c r="D360" s="119">
        <v>0</v>
      </c>
      <c r="E360" s="119">
        <v>0</v>
      </c>
      <c r="F360" s="119">
        <v>0</v>
      </c>
      <c r="G360" s="120"/>
      <c r="H360" s="120"/>
      <c r="I360" s="119">
        <f t="shared" si="113"/>
        <v>1046.3601242051086</v>
      </c>
      <c r="J360" s="120"/>
      <c r="K360" s="119"/>
      <c r="L360" s="119"/>
      <c r="M360" s="119"/>
      <c r="N360" s="119"/>
      <c r="O360" s="119">
        <f t="shared" si="114"/>
        <v>1046.3601242051086</v>
      </c>
      <c r="P360" s="119"/>
      <c r="Q360" s="120"/>
    </row>
    <row r="361" spans="1:17" x14ac:dyDescent="0.2">
      <c r="B361" s="123">
        <v>56340</v>
      </c>
      <c r="C361" s="119">
        <v>0</v>
      </c>
      <c r="D361" s="119">
        <v>0</v>
      </c>
      <c r="E361" s="119">
        <v>0</v>
      </c>
      <c r="F361" s="119">
        <v>0</v>
      </c>
      <c r="G361" s="120"/>
      <c r="H361" s="120"/>
      <c r="I361" s="119">
        <f t="shared" si="113"/>
        <v>1046.3601242051086</v>
      </c>
      <c r="J361" s="120"/>
      <c r="K361" s="119"/>
      <c r="L361" s="119"/>
      <c r="M361" s="119"/>
      <c r="N361" s="119"/>
      <c r="O361" s="119">
        <f t="shared" si="114"/>
        <v>1046.3601242051086</v>
      </c>
      <c r="P361" s="119"/>
      <c r="Q361" s="120"/>
    </row>
    <row r="362" spans="1:17" x14ac:dyDescent="0.2">
      <c r="B362" s="123">
        <v>56370</v>
      </c>
      <c r="C362" s="119">
        <v>0</v>
      </c>
      <c r="D362" s="119">
        <v>0</v>
      </c>
      <c r="E362" s="119">
        <v>0</v>
      </c>
      <c r="F362" s="119">
        <v>0</v>
      </c>
      <c r="G362" s="120"/>
      <c r="H362" s="120"/>
      <c r="I362" s="119">
        <f t="shared" si="113"/>
        <v>1046.3601242051086</v>
      </c>
      <c r="J362" s="120"/>
      <c r="K362" s="119"/>
      <c r="L362" s="119"/>
      <c r="M362" s="119"/>
      <c r="N362" s="119"/>
      <c r="O362" s="119">
        <f t="shared" si="114"/>
        <v>1046.3601242051086</v>
      </c>
      <c r="P362" s="119"/>
      <c r="Q362" s="120"/>
    </row>
    <row r="363" spans="1:17" x14ac:dyDescent="0.2">
      <c r="B363" s="123">
        <v>56401</v>
      </c>
      <c r="C363" s="119">
        <v>0</v>
      </c>
      <c r="D363" s="119">
        <v>0</v>
      </c>
      <c r="E363" s="119">
        <v>0</v>
      </c>
      <c r="F363" s="119">
        <v>0</v>
      </c>
      <c r="G363" s="120"/>
      <c r="H363" s="120"/>
      <c r="I363" s="119">
        <f t="shared" si="113"/>
        <v>1046.3601242051086</v>
      </c>
      <c r="J363" s="120"/>
      <c r="K363" s="119"/>
      <c r="L363" s="119"/>
      <c r="M363" s="119"/>
      <c r="N363" s="119"/>
      <c r="O363" s="119">
        <f t="shared" si="114"/>
        <v>1046.3601242051086</v>
      </c>
      <c r="P363" s="119"/>
      <c r="Q363" s="120"/>
    </row>
    <row r="364" spans="1:17" x14ac:dyDescent="0.2">
      <c r="B364" s="123">
        <v>56431</v>
      </c>
      <c r="C364" s="119">
        <v>0</v>
      </c>
      <c r="D364" s="119">
        <v>0</v>
      </c>
      <c r="E364" s="119">
        <v>0</v>
      </c>
      <c r="F364" s="119">
        <v>0</v>
      </c>
      <c r="G364" s="120"/>
      <c r="H364" s="120"/>
      <c r="I364" s="119">
        <f t="shared" si="113"/>
        <v>1046.3601242051086</v>
      </c>
      <c r="J364" s="120"/>
      <c r="K364" s="119"/>
      <c r="L364" s="119"/>
      <c r="M364" s="119"/>
      <c r="N364" s="119"/>
      <c r="O364" s="119">
        <f t="shared" si="114"/>
        <v>1046.3601242051086</v>
      </c>
      <c r="P364" s="119"/>
      <c r="Q364" s="120"/>
    </row>
    <row r="365" spans="1:17" x14ac:dyDescent="0.2">
      <c r="B365" s="123">
        <v>56462</v>
      </c>
      <c r="C365" s="119">
        <v>0</v>
      </c>
      <c r="D365" s="119">
        <v>0</v>
      </c>
      <c r="E365" s="119">
        <v>0</v>
      </c>
      <c r="F365" s="119">
        <v>0</v>
      </c>
      <c r="G365" s="120"/>
      <c r="H365" s="120"/>
      <c r="I365" s="119">
        <f t="shared" si="113"/>
        <v>1046.3601242051086</v>
      </c>
      <c r="J365" s="120"/>
      <c r="K365" s="119"/>
      <c r="L365" s="119"/>
      <c r="M365" s="119"/>
      <c r="N365" s="119"/>
      <c r="O365" s="119">
        <f t="shared" si="114"/>
        <v>1046.3601242051086</v>
      </c>
      <c r="P365" s="119"/>
      <c r="Q365" s="120"/>
    </row>
    <row r="366" spans="1:17" x14ac:dyDescent="0.2">
      <c r="B366" s="123">
        <v>56493</v>
      </c>
      <c r="C366" s="119">
        <v>0</v>
      </c>
      <c r="D366" s="119">
        <v>0</v>
      </c>
      <c r="E366" s="119">
        <v>0</v>
      </c>
      <c r="F366" s="119">
        <v>0</v>
      </c>
      <c r="G366" s="120"/>
      <c r="H366" s="120"/>
      <c r="I366" s="119">
        <f t="shared" si="113"/>
        <v>1046.3601242051086</v>
      </c>
      <c r="J366" s="120"/>
      <c r="K366" s="119"/>
      <c r="L366" s="119"/>
      <c r="M366" s="119"/>
      <c r="N366" s="119"/>
      <c r="O366" s="119">
        <f t="shared" si="114"/>
        <v>1046.3601242051086</v>
      </c>
      <c r="P366" s="119"/>
      <c r="Q366" s="120"/>
    </row>
    <row r="367" spans="1:17" x14ac:dyDescent="0.2">
      <c r="B367" s="123">
        <v>56523</v>
      </c>
      <c r="C367" s="119">
        <v>0</v>
      </c>
      <c r="D367" s="119">
        <v>0</v>
      </c>
      <c r="E367" s="119">
        <v>0</v>
      </c>
      <c r="F367" s="119">
        <v>0</v>
      </c>
      <c r="G367" s="120"/>
      <c r="H367" s="120"/>
      <c r="I367" s="119">
        <f t="shared" ref="I367" si="115">I365</f>
        <v>1046.3601242051086</v>
      </c>
      <c r="J367" s="120"/>
      <c r="K367" s="119"/>
      <c r="L367" s="119"/>
      <c r="M367" s="119"/>
      <c r="N367" s="119"/>
      <c r="O367" s="125">
        <f t="shared" si="114"/>
        <v>1046.3601242051086</v>
      </c>
      <c r="P367" s="119"/>
      <c r="Q367" s="120"/>
    </row>
    <row r="368" spans="1:17" x14ac:dyDescent="0.2">
      <c r="B368" s="123">
        <v>56554</v>
      </c>
      <c r="C368" s="119">
        <v>0</v>
      </c>
      <c r="D368" s="119">
        <v>0</v>
      </c>
      <c r="E368" s="119">
        <v>0</v>
      </c>
      <c r="F368" s="119">
        <v>0</v>
      </c>
      <c r="G368" s="120"/>
      <c r="H368" s="120"/>
      <c r="I368" s="119">
        <f>I367</f>
        <v>1046.3601242051086</v>
      </c>
      <c r="J368" s="120"/>
      <c r="K368" s="119"/>
      <c r="L368" s="119"/>
      <c r="M368" s="119"/>
      <c r="N368" s="119"/>
      <c r="O368" s="125">
        <f t="shared" si="114"/>
        <v>1046.3601242051086</v>
      </c>
      <c r="P368" s="119"/>
      <c r="Q368" s="120"/>
    </row>
    <row r="369" spans="1:22" x14ac:dyDescent="0.2">
      <c r="A369">
        <v>29</v>
      </c>
      <c r="B369" s="123">
        <v>56584</v>
      </c>
      <c r="C369" s="119">
        <v>0</v>
      </c>
      <c r="D369" s="119">
        <v>0</v>
      </c>
      <c r="E369" s="119">
        <v>0</v>
      </c>
      <c r="F369" s="119">
        <v>0</v>
      </c>
      <c r="G369" s="120"/>
      <c r="H369" s="120"/>
      <c r="I369" s="118">
        <f>I368*$A$31</f>
        <v>1062.0555260681851</v>
      </c>
      <c r="J369" s="118">
        <f>(I369/$J$2)/0.66</f>
        <v>20.114687993715627</v>
      </c>
      <c r="K369" s="118">
        <f>SUM(E358:E369)</f>
        <v>688.44995776413248</v>
      </c>
      <c r="L369" s="118">
        <f>SUM(I358:I369)-SUM(D358:D369)</f>
        <v>12572.016892324376</v>
      </c>
      <c r="M369" s="118"/>
      <c r="N369" s="118">
        <v>2500</v>
      </c>
      <c r="O369" s="119">
        <f>I369-D369</f>
        <v>1062.0555260681851</v>
      </c>
      <c r="P369" s="118">
        <f>SUM(O358:O369)+M369+N369</f>
        <v>15072.016892324376</v>
      </c>
      <c r="Q369" s="118">
        <f>L369+M369+N369</f>
        <v>15072.016892324376</v>
      </c>
    </row>
    <row r="370" spans="1:22" x14ac:dyDescent="0.2">
      <c r="B370" s="123">
        <v>56615</v>
      </c>
      <c r="C370" s="119">
        <v>0</v>
      </c>
      <c r="D370" s="119">
        <v>0</v>
      </c>
      <c r="E370" s="119">
        <v>0</v>
      </c>
      <c r="F370" s="119">
        <v>0</v>
      </c>
      <c r="G370" s="120"/>
      <c r="H370" s="120"/>
      <c r="I370" s="119">
        <f t="shared" ref="I370:I378" si="116">I369</f>
        <v>1062.0555260681851</v>
      </c>
      <c r="J370" s="120"/>
      <c r="K370" s="119"/>
      <c r="L370" s="119"/>
      <c r="M370" s="119"/>
      <c r="N370" s="119"/>
      <c r="O370" s="119">
        <f t="shared" ref="O370:O380" si="117">I370-D370</f>
        <v>1062.0555260681851</v>
      </c>
      <c r="P370" s="119"/>
      <c r="Q370" s="120"/>
    </row>
    <row r="371" spans="1:22" x14ac:dyDescent="0.2">
      <c r="B371" s="123">
        <v>56646</v>
      </c>
      <c r="C371" s="119">
        <v>0</v>
      </c>
      <c r="D371" s="119">
        <v>0</v>
      </c>
      <c r="E371" s="119">
        <v>0</v>
      </c>
      <c r="F371" s="119">
        <v>0</v>
      </c>
      <c r="G371" s="120"/>
      <c r="H371" s="120"/>
      <c r="I371" s="119">
        <f t="shared" si="116"/>
        <v>1062.0555260681851</v>
      </c>
      <c r="J371" s="120"/>
      <c r="K371" s="119"/>
      <c r="L371" s="119"/>
      <c r="M371" s="119"/>
      <c r="N371" s="119"/>
      <c r="O371" s="119">
        <f t="shared" si="117"/>
        <v>1062.0555260681851</v>
      </c>
      <c r="P371" s="119"/>
      <c r="Q371" s="120"/>
    </row>
    <row r="372" spans="1:22" x14ac:dyDescent="0.2">
      <c r="B372" s="123">
        <v>56674</v>
      </c>
      <c r="C372" s="119">
        <v>0</v>
      </c>
      <c r="D372" s="119">
        <v>0</v>
      </c>
      <c r="E372" s="119">
        <v>0</v>
      </c>
      <c r="F372" s="119">
        <v>0</v>
      </c>
      <c r="G372" s="120"/>
      <c r="H372" s="120"/>
      <c r="I372" s="119">
        <f t="shared" si="116"/>
        <v>1062.0555260681851</v>
      </c>
      <c r="J372" s="120"/>
      <c r="K372" s="119"/>
      <c r="L372" s="119"/>
      <c r="M372" s="119"/>
      <c r="N372" s="119"/>
      <c r="O372" s="119">
        <f t="shared" si="117"/>
        <v>1062.0555260681851</v>
      </c>
      <c r="P372" s="119"/>
      <c r="Q372" s="120"/>
    </row>
    <row r="373" spans="1:22" x14ac:dyDescent="0.2">
      <c r="B373" s="123">
        <v>56705</v>
      </c>
      <c r="C373" s="119">
        <v>0</v>
      </c>
      <c r="D373" s="119">
        <v>0</v>
      </c>
      <c r="E373" s="119">
        <v>0</v>
      </c>
      <c r="F373" s="119">
        <v>0</v>
      </c>
      <c r="G373" s="120"/>
      <c r="H373" s="120"/>
      <c r="I373" s="119">
        <f t="shared" si="116"/>
        <v>1062.0555260681851</v>
      </c>
      <c r="J373" s="120"/>
      <c r="K373" s="119"/>
      <c r="L373" s="119"/>
      <c r="M373" s="119"/>
      <c r="N373" s="119"/>
      <c r="O373" s="119">
        <f t="shared" si="117"/>
        <v>1062.0555260681851</v>
      </c>
      <c r="P373" s="119"/>
      <c r="Q373" s="120"/>
    </row>
    <row r="374" spans="1:22" x14ac:dyDescent="0.2">
      <c r="B374" s="123">
        <v>56735</v>
      </c>
      <c r="C374" s="119">
        <v>0</v>
      </c>
      <c r="D374" s="119">
        <v>0</v>
      </c>
      <c r="E374" s="119">
        <v>0</v>
      </c>
      <c r="F374" s="119">
        <v>0</v>
      </c>
      <c r="G374" s="120"/>
      <c r="H374" s="120"/>
      <c r="I374" s="119">
        <f t="shared" si="116"/>
        <v>1062.0555260681851</v>
      </c>
      <c r="J374" s="120"/>
      <c r="K374" s="119"/>
      <c r="L374" s="119"/>
      <c r="M374" s="119"/>
      <c r="N374" s="119"/>
      <c r="O374" s="119">
        <f t="shared" si="117"/>
        <v>1062.0555260681851</v>
      </c>
      <c r="P374" s="119"/>
      <c r="Q374" s="120"/>
    </row>
    <row r="375" spans="1:22" x14ac:dyDescent="0.2">
      <c r="B375" s="123">
        <v>56766</v>
      </c>
      <c r="C375" s="119">
        <v>0</v>
      </c>
      <c r="D375" s="119">
        <v>0</v>
      </c>
      <c r="E375" s="119">
        <v>0</v>
      </c>
      <c r="F375" s="119">
        <v>0</v>
      </c>
      <c r="G375" s="120"/>
      <c r="H375" s="120"/>
      <c r="I375" s="119">
        <f t="shared" si="116"/>
        <v>1062.0555260681851</v>
      </c>
      <c r="J375" s="120"/>
      <c r="K375" s="119"/>
      <c r="L375" s="119"/>
      <c r="M375" s="119"/>
      <c r="N375" s="119"/>
      <c r="O375" s="119">
        <f t="shared" si="117"/>
        <v>1062.0555260681851</v>
      </c>
      <c r="P375" s="119"/>
      <c r="Q375" s="120"/>
    </row>
    <row r="376" spans="1:22" x14ac:dyDescent="0.2">
      <c r="B376" s="123">
        <v>56796</v>
      </c>
      <c r="C376" s="119">
        <v>0</v>
      </c>
      <c r="D376" s="119">
        <v>0</v>
      </c>
      <c r="E376" s="119">
        <v>0</v>
      </c>
      <c r="F376" s="119">
        <v>0</v>
      </c>
      <c r="G376" s="120"/>
      <c r="H376" s="120"/>
      <c r="I376" s="119">
        <f t="shared" si="116"/>
        <v>1062.0555260681851</v>
      </c>
      <c r="J376" s="120"/>
      <c r="K376" s="119"/>
      <c r="L376" s="119"/>
      <c r="M376" s="119"/>
      <c r="N376" s="119"/>
      <c r="O376" s="119">
        <f t="shared" si="117"/>
        <v>1062.0555260681851</v>
      </c>
      <c r="P376" s="119"/>
      <c r="Q376" s="120"/>
    </row>
    <row r="377" spans="1:22" x14ac:dyDescent="0.2">
      <c r="B377" s="123">
        <v>56827</v>
      </c>
      <c r="C377" s="119">
        <v>0</v>
      </c>
      <c r="D377" s="119">
        <v>0</v>
      </c>
      <c r="E377" s="119">
        <v>0</v>
      </c>
      <c r="F377" s="119">
        <v>0</v>
      </c>
      <c r="G377" s="120"/>
      <c r="H377" s="120"/>
      <c r="I377" s="119">
        <f t="shared" si="116"/>
        <v>1062.0555260681851</v>
      </c>
      <c r="J377" s="120"/>
      <c r="K377" s="119"/>
      <c r="L377" s="119"/>
      <c r="M377" s="119"/>
      <c r="N377" s="119"/>
      <c r="O377" s="119">
        <f t="shared" si="117"/>
        <v>1062.0555260681851</v>
      </c>
      <c r="P377" s="119"/>
      <c r="Q377" s="120"/>
    </row>
    <row r="378" spans="1:22" x14ac:dyDescent="0.2">
      <c r="B378" s="123">
        <v>56858</v>
      </c>
      <c r="C378" s="119">
        <v>0</v>
      </c>
      <c r="D378" s="119">
        <v>0</v>
      </c>
      <c r="E378" s="119">
        <v>0</v>
      </c>
      <c r="F378" s="119">
        <v>0</v>
      </c>
      <c r="G378" s="120"/>
      <c r="H378" s="120"/>
      <c r="I378" s="119">
        <f t="shared" si="116"/>
        <v>1062.0555260681851</v>
      </c>
      <c r="J378" s="120"/>
      <c r="K378" s="119"/>
      <c r="L378" s="119"/>
      <c r="M378" s="119"/>
      <c r="N378" s="119"/>
      <c r="O378" s="119">
        <f t="shared" si="117"/>
        <v>1062.0555260681851</v>
      </c>
      <c r="P378" s="119"/>
      <c r="Q378" s="120"/>
    </row>
    <row r="379" spans="1:22" x14ac:dyDescent="0.2">
      <c r="B379" s="123">
        <v>56888</v>
      </c>
      <c r="C379" s="119">
        <v>0</v>
      </c>
      <c r="D379" s="119">
        <v>0</v>
      </c>
      <c r="E379" s="119">
        <v>0</v>
      </c>
      <c r="F379" s="119">
        <v>0</v>
      </c>
      <c r="G379" s="120"/>
      <c r="H379" s="120"/>
      <c r="I379" s="119">
        <f t="shared" ref="I379" si="118">I377</f>
        <v>1062.0555260681851</v>
      </c>
      <c r="J379" s="120"/>
      <c r="K379" s="119"/>
      <c r="L379" s="119"/>
      <c r="M379" s="119"/>
      <c r="N379" s="119"/>
      <c r="O379" s="125">
        <f t="shared" si="117"/>
        <v>1062.0555260681851</v>
      </c>
      <c r="P379" s="119"/>
      <c r="Q379" s="120"/>
    </row>
    <row r="380" spans="1:22" x14ac:dyDescent="0.2">
      <c r="B380" s="123">
        <v>56919</v>
      </c>
      <c r="C380" s="119">
        <v>0</v>
      </c>
      <c r="D380" s="119">
        <v>0</v>
      </c>
      <c r="E380" s="119">
        <v>0</v>
      </c>
      <c r="F380" s="119">
        <v>0</v>
      </c>
      <c r="G380" s="120"/>
      <c r="H380" s="120"/>
      <c r="I380" s="119">
        <f>I379</f>
        <v>1062.0555260681851</v>
      </c>
      <c r="J380" s="120"/>
      <c r="K380" s="119"/>
      <c r="L380" s="119"/>
      <c r="M380" s="119"/>
      <c r="N380" s="119"/>
      <c r="O380" s="125">
        <f t="shared" si="117"/>
        <v>1062.0555260681851</v>
      </c>
      <c r="P380" s="119"/>
      <c r="Q380" s="120"/>
    </row>
    <row r="381" spans="1:22" x14ac:dyDescent="0.2">
      <c r="A381">
        <v>30</v>
      </c>
      <c r="B381" s="123">
        <v>56949</v>
      </c>
      <c r="C381" s="119">
        <v>0</v>
      </c>
      <c r="D381" s="119">
        <v>0</v>
      </c>
      <c r="E381" s="119">
        <v>0</v>
      </c>
      <c r="F381" s="119">
        <v>0</v>
      </c>
      <c r="G381" s="120"/>
      <c r="H381" s="120"/>
      <c r="I381" s="118">
        <f>I380*$A$31</f>
        <v>1077.9863589592078</v>
      </c>
      <c r="J381" s="118">
        <f>(I381/$J$2)/0.66</f>
        <v>20.416408313621361</v>
      </c>
      <c r="K381" s="118">
        <f>SUM(E370:E381)</f>
        <v>0</v>
      </c>
      <c r="L381" s="118">
        <f>SUM(I370:I381)-SUM(D370:D381)</f>
        <v>12760.597145709244</v>
      </c>
      <c r="M381" s="118"/>
      <c r="N381" s="118">
        <v>2500</v>
      </c>
      <c r="O381" s="119">
        <f>I381-D381</f>
        <v>1077.9863589592078</v>
      </c>
      <c r="P381" s="118">
        <f>SUM(O370:O381)+M381+N381</f>
        <v>15260.597145709244</v>
      </c>
      <c r="Q381" s="118">
        <f>L381+M381+N381</f>
        <v>15260.597145709244</v>
      </c>
    </row>
    <row r="383" spans="1:22" ht="6.75" customHeight="1" x14ac:dyDescent="0.2">
      <c r="B383" s="5"/>
      <c r="C383" s="127"/>
      <c r="D383" s="5"/>
      <c r="E383" s="5"/>
      <c r="F383" s="127"/>
      <c r="G383" s="5"/>
      <c r="H383" s="5"/>
      <c r="I383" s="127"/>
      <c r="J383" s="5"/>
      <c r="K383" s="127"/>
      <c r="L383" s="127"/>
      <c r="M383" s="127"/>
      <c r="N383" s="127"/>
      <c r="O383" s="127"/>
      <c r="P383" s="127"/>
      <c r="Q383" s="5"/>
      <c r="R383" s="5"/>
      <c r="S383" s="5"/>
      <c r="T383" s="5"/>
      <c r="U383" s="5"/>
      <c r="V383" s="5"/>
    </row>
    <row r="384" spans="1:22" x14ac:dyDescent="0.2">
      <c r="B384" s="90" t="s">
        <v>27</v>
      </c>
      <c r="D384" s="135">
        <f>SUM(D10:D381)</f>
        <v>161220.44995776404</v>
      </c>
      <c r="E384" s="111">
        <f>SUM(E4:E213)</f>
        <v>129588.75261213109</v>
      </c>
      <c r="F384" s="111">
        <f>SUM(F4:F213)</f>
        <v>259208.08000000002</v>
      </c>
      <c r="G384" s="111">
        <f>SUM(G3:G213)</f>
        <v>74338.8</v>
      </c>
      <c r="H384" s="111">
        <f>SUM(H2:H213)</f>
        <v>21661.200000000001</v>
      </c>
      <c r="I384" s="135">
        <f>SUM(I10:I381)</f>
        <v>309067.0735263282</v>
      </c>
      <c r="J384" s="1"/>
      <c r="K384" s="111">
        <f>SUM(K2:K213)</f>
        <v>203927.55261213117</v>
      </c>
      <c r="L384" s="111">
        <f>SUM(L6:L381)</f>
        <v>143977.54356856333</v>
      </c>
      <c r="M384" s="111">
        <f>SUM(M2:M213)</f>
        <v>1840</v>
      </c>
      <c r="N384" s="135">
        <f>SUM(N6:N381)</f>
        <v>76073</v>
      </c>
      <c r="O384" s="111"/>
      <c r="P384" s="111">
        <f>SUM(P6:P381)</f>
        <v>200432.34356856332</v>
      </c>
      <c r="Q384" s="111">
        <f>SUM(Q6:Q381)</f>
        <v>200229.34356856329</v>
      </c>
      <c r="R384" s="113">
        <f>SUM(R4:R213)/17</f>
        <v>0.34886080090883037</v>
      </c>
      <c r="S384" s="86"/>
    </row>
    <row r="385" spans="3:19" x14ac:dyDescent="0.2">
      <c r="G385" s="90"/>
      <c r="S385" s="61"/>
    </row>
    <row r="386" spans="3:19" x14ac:dyDescent="0.2">
      <c r="E386" t="s">
        <v>222</v>
      </c>
      <c r="F386" s="90" t="s">
        <v>223</v>
      </c>
    </row>
    <row r="387" spans="3:19" x14ac:dyDescent="0.2">
      <c r="C387" s="90" t="s">
        <v>220</v>
      </c>
      <c r="D387" t="s">
        <v>40</v>
      </c>
      <c r="E387" s="90">
        <f>(I384*1.1)</f>
        <v>339973.78087896103</v>
      </c>
      <c r="F387" s="90">
        <f>(I384*1.1)</f>
        <v>339973.78087896103</v>
      </c>
    </row>
    <row r="388" spans="3:19" x14ac:dyDescent="0.2">
      <c r="D388" t="s">
        <v>180</v>
      </c>
      <c r="E388" s="90">
        <f>D384*0.9</f>
        <v>145098.40496198763</v>
      </c>
      <c r="F388" s="90">
        <f>87512*0.9</f>
        <v>78760.800000000003</v>
      </c>
    </row>
    <row r="389" spans="3:19" x14ac:dyDescent="0.2">
      <c r="D389" t="s">
        <v>216</v>
      </c>
      <c r="E389" s="90">
        <f>9062*0.9*30</f>
        <v>244674</v>
      </c>
      <c r="F389" s="90">
        <f>9062*0.9*30</f>
        <v>244674</v>
      </c>
    </row>
    <row r="390" spans="3:19" x14ac:dyDescent="0.2">
      <c r="D390" t="s">
        <v>103</v>
      </c>
      <c r="E390" s="90">
        <f>(500*30)*0.9</f>
        <v>13500</v>
      </c>
      <c r="F390" s="90">
        <f>(500*30)*0.9</f>
        <v>13500</v>
      </c>
    </row>
    <row r="391" spans="3:19" x14ac:dyDescent="0.2">
      <c r="C391" s="90" t="s">
        <v>221</v>
      </c>
      <c r="E391" s="90">
        <f>E387-E388-E389-E390</f>
        <v>-63298.624083026603</v>
      </c>
      <c r="F391" s="90">
        <f>F387-F388-F389-F390</f>
        <v>3038.9808789610397</v>
      </c>
    </row>
    <row r="400" spans="3:19" x14ac:dyDescent="0.2">
      <c r="H400">
        <v>360000</v>
      </c>
      <c r="I400" s="63">
        <v>0.8</v>
      </c>
      <c r="J400" s="136"/>
      <c r="K400" s="90">
        <f>H400*I400</f>
        <v>288000</v>
      </c>
      <c r="L400" s="63">
        <v>0.03</v>
      </c>
      <c r="M400" s="90">
        <f>K400*L400</f>
        <v>8640</v>
      </c>
      <c r="N400" s="90">
        <f>M400*30</f>
        <v>259200</v>
      </c>
    </row>
    <row r="401" spans="14:14" x14ac:dyDescent="0.2">
      <c r="N401" s="90">
        <f>N400*0.3</f>
        <v>77760</v>
      </c>
    </row>
  </sheetData>
  <conditionalFormatting sqref="L2:L38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38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E6C0-18F7-483C-8406-A1B8DE75BF8D}">
  <dimension ref="A1:V401"/>
  <sheetViews>
    <sheetView zoomScaleNormal="100" workbookViewId="0">
      <pane ySplit="1" topLeftCell="A2" activePane="bottomLeft" state="frozen"/>
      <selection pane="bottomLeft" activeCell="I394" sqref="I394"/>
    </sheetView>
  </sheetViews>
  <sheetFormatPr baseColWidth="10" defaultRowHeight="14.25" x14ac:dyDescent="0.2"/>
  <cols>
    <col min="2" max="2" width="16.875" bestFit="1" customWidth="1"/>
    <col min="3" max="3" width="17.25" style="90" bestFit="1" customWidth="1"/>
    <col min="4" max="4" width="11.5" bestFit="1" customWidth="1"/>
    <col min="5" max="5" width="15.125" bestFit="1" customWidth="1"/>
    <col min="6" max="6" width="13.875" style="90" bestFit="1" customWidth="1"/>
    <col min="7" max="7" width="12.5" bestFit="1" customWidth="1"/>
    <col min="8" max="8" width="12.375" customWidth="1"/>
    <col min="9" max="9" width="12.875" style="90" bestFit="1" customWidth="1"/>
    <col min="10" max="10" width="8.5" bestFit="1" customWidth="1"/>
    <col min="11" max="11" width="12.5" style="90" bestFit="1" customWidth="1"/>
    <col min="12" max="12" width="15" style="90" customWidth="1"/>
    <col min="13" max="13" width="16.75" style="90" bestFit="1" customWidth="1"/>
    <col min="14" max="14" width="14" style="90" customWidth="1"/>
    <col min="15" max="15" width="11.375" style="90" bestFit="1" customWidth="1"/>
    <col min="16" max="16" width="12.25" style="90" bestFit="1" customWidth="1"/>
    <col min="17" max="17" width="15.25" customWidth="1"/>
    <col min="18" max="18" width="6.875" bestFit="1" customWidth="1"/>
    <col min="19" max="19" width="7.5" bestFit="1" customWidth="1"/>
    <col min="20" max="20" width="9.25" bestFit="1" customWidth="1"/>
    <col min="21" max="21" width="10" bestFit="1" customWidth="1"/>
    <col min="22" max="22" width="13.25" bestFit="1" customWidth="1"/>
  </cols>
  <sheetData>
    <row r="1" spans="1:22" s="129" customFormat="1" ht="29.25" customHeight="1" x14ac:dyDescent="0.2">
      <c r="A1" s="129" t="s">
        <v>219</v>
      </c>
      <c r="B1" s="128" t="s">
        <v>183</v>
      </c>
      <c r="C1" s="114" t="s">
        <v>179</v>
      </c>
      <c r="D1" s="128" t="s">
        <v>180</v>
      </c>
      <c r="E1" s="128" t="s">
        <v>181</v>
      </c>
      <c r="F1" s="114" t="s">
        <v>102</v>
      </c>
      <c r="G1" s="128" t="s">
        <v>184</v>
      </c>
      <c r="H1" s="128" t="s">
        <v>192</v>
      </c>
      <c r="I1" s="114" t="s">
        <v>62</v>
      </c>
      <c r="J1" s="128" t="s">
        <v>226</v>
      </c>
      <c r="K1" s="114" t="s">
        <v>201</v>
      </c>
      <c r="L1" s="114" t="s">
        <v>191</v>
      </c>
      <c r="M1" s="114" t="s">
        <v>185</v>
      </c>
      <c r="N1" s="114" t="s">
        <v>186</v>
      </c>
      <c r="O1" s="114" t="s">
        <v>187</v>
      </c>
      <c r="P1" s="114" t="s">
        <v>188</v>
      </c>
      <c r="Q1" s="114" t="s">
        <v>207</v>
      </c>
      <c r="R1" s="114" t="s">
        <v>190</v>
      </c>
      <c r="S1" s="128" t="s">
        <v>182</v>
      </c>
      <c r="T1" s="128" t="s">
        <v>189</v>
      </c>
      <c r="U1" s="114" t="s">
        <v>51</v>
      </c>
      <c r="V1" s="114" t="s">
        <v>197</v>
      </c>
    </row>
    <row r="2" spans="1:22" x14ac:dyDescent="0.2">
      <c r="B2" s="117"/>
      <c r="C2" s="118"/>
      <c r="D2" s="117"/>
      <c r="E2" s="117"/>
      <c r="F2" s="118"/>
      <c r="G2" s="117"/>
      <c r="H2" s="117"/>
      <c r="I2" s="118"/>
      <c r="J2" s="117">
        <v>80</v>
      </c>
      <c r="K2" s="118"/>
      <c r="L2" s="118"/>
      <c r="M2" s="119"/>
      <c r="N2" s="119"/>
      <c r="O2" s="118"/>
      <c r="P2" s="118"/>
      <c r="Q2" s="120"/>
      <c r="R2" s="120"/>
      <c r="S2" s="86">
        <v>3.4799999999999998E-2</v>
      </c>
      <c r="T2" s="86">
        <v>0.3</v>
      </c>
      <c r="U2" s="90">
        <v>92000</v>
      </c>
      <c r="V2" s="115">
        <v>1.7999999999999999E-2</v>
      </c>
    </row>
    <row r="3" spans="1:22" x14ac:dyDescent="0.2">
      <c r="B3" s="132">
        <v>45901</v>
      </c>
      <c r="C3" s="130"/>
      <c r="D3" s="131"/>
      <c r="E3" s="131"/>
      <c r="F3" s="130"/>
      <c r="G3" s="130">
        <f>U2-H3</f>
        <v>74338.8</v>
      </c>
      <c r="H3" s="130">
        <v>17661.2</v>
      </c>
      <c r="I3" s="130"/>
      <c r="J3" s="131"/>
      <c r="K3" s="131"/>
      <c r="L3" s="131"/>
      <c r="M3" s="130"/>
      <c r="N3" s="130"/>
      <c r="O3" s="130">
        <f>-H3</f>
        <v>-17661.2</v>
      </c>
      <c r="P3" s="130"/>
      <c r="Q3" s="131"/>
      <c r="R3" s="131"/>
      <c r="T3" s="86"/>
    </row>
    <row r="4" spans="1:22" x14ac:dyDescent="0.2">
      <c r="B4" s="132">
        <v>45931</v>
      </c>
      <c r="C4" s="130"/>
      <c r="D4" s="130">
        <v>548.58000000000004</v>
      </c>
      <c r="E4" s="130">
        <v>0</v>
      </c>
      <c r="F4" s="130">
        <v>548.58000000000004</v>
      </c>
      <c r="G4" s="131"/>
      <c r="H4" s="131"/>
      <c r="I4" s="130"/>
      <c r="J4" s="131"/>
      <c r="K4" s="130"/>
      <c r="L4" s="130"/>
      <c r="M4" s="130"/>
      <c r="N4" s="130"/>
      <c r="O4" s="130">
        <v>-548.58000000000004</v>
      </c>
      <c r="P4" s="130"/>
      <c r="Q4" s="131"/>
      <c r="R4" s="131"/>
      <c r="T4" s="86"/>
    </row>
    <row r="5" spans="1:22" x14ac:dyDescent="0.2">
      <c r="B5" s="132">
        <v>45962</v>
      </c>
      <c r="C5" s="130"/>
      <c r="D5" s="130">
        <v>623.5</v>
      </c>
      <c r="E5" s="130">
        <v>0</v>
      </c>
      <c r="F5" s="130">
        <v>623.5</v>
      </c>
      <c r="G5" s="131"/>
      <c r="H5" s="131"/>
      <c r="I5" s="130"/>
      <c r="J5" s="131"/>
      <c r="K5" s="130"/>
      <c r="L5" s="130"/>
      <c r="M5" s="130"/>
      <c r="N5" s="130"/>
      <c r="O5" s="130">
        <v>-623.5</v>
      </c>
      <c r="P5" s="130"/>
      <c r="Q5" s="131"/>
      <c r="R5" s="131"/>
      <c r="T5" s="86"/>
    </row>
    <row r="6" spans="1:22" s="3" customFormat="1" x14ac:dyDescent="0.2">
      <c r="B6" s="121">
        <v>45992</v>
      </c>
      <c r="C6" s="118"/>
      <c r="D6" s="118">
        <v>623.5</v>
      </c>
      <c r="E6" s="118">
        <v>0</v>
      </c>
      <c r="F6" s="118">
        <v>623.5</v>
      </c>
      <c r="G6" s="117"/>
      <c r="H6" s="117"/>
      <c r="I6" s="118"/>
      <c r="J6" s="117"/>
      <c r="K6" s="118">
        <f>U2-H3</f>
        <v>74338.8</v>
      </c>
      <c r="L6" s="118">
        <f>0-SUM(D3:D6)</f>
        <v>-1795.58</v>
      </c>
      <c r="M6" s="118"/>
      <c r="N6" s="119">
        <v>533</v>
      </c>
      <c r="O6" s="118">
        <v>-623.5</v>
      </c>
      <c r="P6" s="118">
        <f>SUM(O3:O6)+N6</f>
        <v>-18923.780000000002</v>
      </c>
      <c r="Q6" s="118">
        <f>L6+N6-H3</f>
        <v>-18923.78</v>
      </c>
      <c r="R6" s="122">
        <f>Q6/K6</f>
        <v>-0.25456127890146191</v>
      </c>
      <c r="T6" s="112"/>
    </row>
    <row r="7" spans="1:22" x14ac:dyDescent="0.2">
      <c r="B7" s="123">
        <v>46023</v>
      </c>
      <c r="C7" s="119"/>
      <c r="D7" s="119">
        <v>623.5</v>
      </c>
      <c r="E7" s="119">
        <v>0</v>
      </c>
      <c r="F7" s="119">
        <v>623.5</v>
      </c>
      <c r="G7" s="120"/>
      <c r="H7" s="119">
        <v>4000</v>
      </c>
      <c r="I7" s="119"/>
      <c r="J7" s="120"/>
      <c r="K7" s="119"/>
      <c r="L7" s="119"/>
      <c r="M7" s="119"/>
      <c r="N7" s="119"/>
      <c r="O7" s="119">
        <v>-4623.5</v>
      </c>
      <c r="P7" s="119"/>
      <c r="Q7" s="120"/>
      <c r="R7" s="120"/>
      <c r="T7" s="86"/>
    </row>
    <row r="8" spans="1:22" x14ac:dyDescent="0.2">
      <c r="B8" s="123">
        <v>46054</v>
      </c>
      <c r="C8" s="119"/>
      <c r="D8" s="119">
        <v>700</v>
      </c>
      <c r="E8" s="119">
        <v>0</v>
      </c>
      <c r="F8" s="119">
        <v>700</v>
      </c>
      <c r="G8" s="120"/>
      <c r="H8" s="120"/>
      <c r="I8" s="119"/>
      <c r="J8" s="120"/>
      <c r="K8" s="119"/>
      <c r="L8" s="119"/>
      <c r="M8" s="119"/>
      <c r="N8" s="119"/>
      <c r="O8" s="119">
        <v>-623.5</v>
      </c>
      <c r="P8" s="119"/>
      <c r="Q8" s="120"/>
      <c r="R8" s="120"/>
      <c r="T8" s="86"/>
    </row>
    <row r="9" spans="1:22" x14ac:dyDescent="0.2">
      <c r="B9" s="123">
        <v>46082</v>
      </c>
      <c r="C9" s="119"/>
      <c r="D9" s="119">
        <v>750</v>
      </c>
      <c r="E9" s="119">
        <v>0</v>
      </c>
      <c r="F9" s="119">
        <v>750</v>
      </c>
      <c r="G9" s="120"/>
      <c r="H9" s="120"/>
      <c r="I9" s="119"/>
      <c r="J9" s="120"/>
      <c r="K9" s="119"/>
      <c r="L9" s="119"/>
      <c r="M9" s="119"/>
      <c r="N9" s="119"/>
      <c r="O9" s="119">
        <v>-623.5</v>
      </c>
      <c r="P9" s="119"/>
      <c r="Q9" s="120"/>
      <c r="R9" s="120"/>
      <c r="T9" s="86"/>
    </row>
    <row r="10" spans="1:22" x14ac:dyDescent="0.2">
      <c r="B10" s="123">
        <v>46113</v>
      </c>
      <c r="C10" s="119">
        <v>288000</v>
      </c>
      <c r="D10" s="119">
        <f>(C10*S2)/12</f>
        <v>835.19999999999993</v>
      </c>
      <c r="E10" s="119">
        <f>F10-D10</f>
        <v>515.80000000000007</v>
      </c>
      <c r="F10" s="119">
        <v>1351</v>
      </c>
      <c r="G10" s="120"/>
      <c r="H10" s="120"/>
      <c r="I10" s="119">
        <v>700</v>
      </c>
      <c r="J10" s="120"/>
      <c r="K10" s="119"/>
      <c r="L10" s="119"/>
      <c r="M10" s="119"/>
      <c r="N10" s="119"/>
      <c r="O10" s="119">
        <f>I10-D10</f>
        <v>-135.19999999999993</v>
      </c>
      <c r="P10" s="119"/>
      <c r="Q10" s="120"/>
      <c r="R10" s="120"/>
    </row>
    <row r="11" spans="1:22" x14ac:dyDescent="0.2">
      <c r="B11" s="123">
        <v>46143</v>
      </c>
      <c r="C11" s="119">
        <f>C10-E10</f>
        <v>287484.2</v>
      </c>
      <c r="D11" s="119">
        <f>(C11*S$2)/12</f>
        <v>833.70418000000006</v>
      </c>
      <c r="E11" s="119">
        <f>F11-D11</f>
        <v>517.29581999999994</v>
      </c>
      <c r="F11" s="119">
        <v>1351</v>
      </c>
      <c r="G11" s="120"/>
      <c r="H11" s="120"/>
      <c r="I11" s="119">
        <v>700</v>
      </c>
      <c r="J11" s="120"/>
      <c r="K11" s="119"/>
      <c r="L11" s="119"/>
      <c r="M11" s="119"/>
      <c r="N11" s="119"/>
      <c r="O11" s="119">
        <f>I11-D11</f>
        <v>-133.70418000000006</v>
      </c>
      <c r="P11" s="119"/>
      <c r="Q11" s="120"/>
      <c r="R11" s="120"/>
    </row>
    <row r="12" spans="1:22" x14ac:dyDescent="0.2">
      <c r="B12" s="123">
        <v>46174</v>
      </c>
      <c r="C12" s="119">
        <f>C11-E11</f>
        <v>286966.90418000001</v>
      </c>
      <c r="D12" s="119">
        <f>(C12*S$2)/12</f>
        <v>832.20402212199997</v>
      </c>
      <c r="E12" s="119">
        <f t="shared" ref="E12:E79" si="0">F12-D12</f>
        <v>518.79597787800003</v>
      </c>
      <c r="F12" s="119">
        <v>1351</v>
      </c>
      <c r="G12" s="120"/>
      <c r="H12" s="120"/>
      <c r="I12" s="119">
        <v>700</v>
      </c>
      <c r="J12" s="120"/>
      <c r="K12" s="119"/>
      <c r="L12" s="119"/>
      <c r="M12" s="119"/>
      <c r="N12" s="119"/>
      <c r="O12" s="119">
        <f>I12-D12</f>
        <v>-132.20402212199997</v>
      </c>
      <c r="P12" s="119"/>
      <c r="Q12" s="120"/>
      <c r="R12" s="120"/>
    </row>
    <row r="13" spans="1:22" x14ac:dyDescent="0.2">
      <c r="B13" s="123">
        <v>46204</v>
      </c>
      <c r="C13" s="119">
        <f t="shared" ref="C13:C76" si="1">C12-E12</f>
        <v>286448.10820212204</v>
      </c>
      <c r="D13" s="119">
        <f>(C13*S$2)/12</f>
        <v>830.69951378615394</v>
      </c>
      <c r="E13" s="119">
        <f t="shared" si="0"/>
        <v>520.30048621384606</v>
      </c>
      <c r="F13" s="119">
        <v>1351</v>
      </c>
      <c r="G13" s="120"/>
      <c r="H13" s="120"/>
      <c r="I13" s="119">
        <v>700</v>
      </c>
      <c r="J13" s="120"/>
      <c r="K13" s="119"/>
      <c r="L13" s="119"/>
      <c r="M13" s="119"/>
      <c r="N13" s="119"/>
      <c r="O13" s="119">
        <f>I13-D13</f>
        <v>-130.69951378615394</v>
      </c>
      <c r="P13" s="119"/>
      <c r="Q13" s="120"/>
      <c r="R13" s="120"/>
    </row>
    <row r="14" spans="1:22" x14ac:dyDescent="0.2">
      <c r="B14" s="123">
        <v>46235</v>
      </c>
      <c r="C14" s="119">
        <f t="shared" si="1"/>
        <v>285927.80771590822</v>
      </c>
      <c r="D14" s="119">
        <f>(C14*S$2)/12</f>
        <v>829.19064237613384</v>
      </c>
      <c r="E14" s="119">
        <f t="shared" si="0"/>
        <v>521.80935762386616</v>
      </c>
      <c r="F14" s="119">
        <v>1351</v>
      </c>
      <c r="G14" s="120"/>
      <c r="H14" s="120"/>
      <c r="I14" s="119">
        <v>700</v>
      </c>
      <c r="J14" s="120"/>
      <c r="K14" s="119"/>
      <c r="L14" s="119"/>
      <c r="M14" s="119"/>
      <c r="N14" s="119"/>
      <c r="O14" s="119">
        <f>I14-D14</f>
        <v>-129.19064237613384</v>
      </c>
      <c r="P14" s="119"/>
      <c r="Q14" s="120"/>
      <c r="R14" s="120"/>
    </row>
    <row r="15" spans="1:22" x14ac:dyDescent="0.2">
      <c r="B15" s="123">
        <v>46265</v>
      </c>
      <c r="C15" s="119">
        <f t="shared" si="1"/>
        <v>285405.99835828436</v>
      </c>
      <c r="D15" s="119">
        <v>0</v>
      </c>
      <c r="E15" s="119">
        <v>0</v>
      </c>
      <c r="F15" s="119">
        <v>0</v>
      </c>
      <c r="G15" s="119"/>
      <c r="H15" s="119"/>
      <c r="I15" s="119"/>
      <c r="J15" s="120"/>
      <c r="K15" s="119"/>
      <c r="L15" s="119"/>
      <c r="M15" s="119"/>
      <c r="N15" s="119"/>
      <c r="O15" s="119">
        <f>D15-G15</f>
        <v>0</v>
      </c>
      <c r="P15" s="119"/>
      <c r="Q15" s="120"/>
      <c r="R15" s="120"/>
    </row>
    <row r="16" spans="1:22" x14ac:dyDescent="0.2">
      <c r="B16" s="123">
        <v>46266</v>
      </c>
      <c r="C16" s="119">
        <f>C15-G15</f>
        <v>285405.99835828436</v>
      </c>
      <c r="D16" s="119">
        <f t="shared" ref="D16:D27" si="2">(C16*S$2)/12</f>
        <v>827.67739523902458</v>
      </c>
      <c r="E16" s="119">
        <f t="shared" si="0"/>
        <v>523.32260476097542</v>
      </c>
      <c r="F16" s="119">
        <v>1351</v>
      </c>
      <c r="G16" s="120"/>
      <c r="H16" s="120"/>
      <c r="I16" s="119">
        <v>700</v>
      </c>
      <c r="J16" s="120"/>
      <c r="K16" s="119"/>
      <c r="L16" s="119"/>
      <c r="M16" s="119"/>
      <c r="N16" s="119"/>
      <c r="O16" s="119">
        <f t="shared" ref="O16:O27" si="3">I16-D16</f>
        <v>-127.67739523902458</v>
      </c>
      <c r="P16" s="119"/>
      <c r="Q16" s="120"/>
      <c r="R16" s="120"/>
    </row>
    <row r="17" spans="1:19" x14ac:dyDescent="0.2">
      <c r="B17" s="123">
        <v>46296</v>
      </c>
      <c r="C17" s="119">
        <f t="shared" si="1"/>
        <v>284882.67575352336</v>
      </c>
      <c r="D17" s="119">
        <f t="shared" si="2"/>
        <v>826.15975968521764</v>
      </c>
      <c r="E17" s="119">
        <f t="shared" si="0"/>
        <v>524.84024031478236</v>
      </c>
      <c r="F17" s="119">
        <v>1351</v>
      </c>
      <c r="G17" s="120"/>
      <c r="H17" s="120"/>
      <c r="I17" s="119">
        <v>700</v>
      </c>
      <c r="J17" s="120"/>
      <c r="K17" s="119"/>
      <c r="L17" s="119"/>
      <c r="M17" s="119"/>
      <c r="N17" s="119"/>
      <c r="O17" s="119">
        <f t="shared" si="3"/>
        <v>-126.15975968521764</v>
      </c>
      <c r="P17" s="119"/>
      <c r="Q17" s="120"/>
      <c r="R17" s="120"/>
    </row>
    <row r="18" spans="1:19" x14ac:dyDescent="0.2">
      <c r="B18" s="123">
        <v>46327</v>
      </c>
      <c r="C18" s="119">
        <f t="shared" si="1"/>
        <v>284357.83551320859</v>
      </c>
      <c r="D18" s="119">
        <f t="shared" si="2"/>
        <v>824.63772298830474</v>
      </c>
      <c r="E18" s="119">
        <f t="shared" si="0"/>
        <v>526.36227701169526</v>
      </c>
      <c r="F18" s="119">
        <v>1351</v>
      </c>
      <c r="G18" s="120"/>
      <c r="H18" s="120"/>
      <c r="I18" s="119">
        <v>700</v>
      </c>
      <c r="J18" s="120"/>
      <c r="K18" s="119"/>
      <c r="L18" s="119"/>
      <c r="M18" s="119"/>
      <c r="N18" s="119"/>
      <c r="O18" s="119">
        <f t="shared" si="3"/>
        <v>-124.63772298830474</v>
      </c>
      <c r="P18" s="119"/>
      <c r="Q18" s="120"/>
      <c r="R18" s="120"/>
    </row>
    <row r="19" spans="1:19" s="3" customFormat="1" x14ac:dyDescent="0.2">
      <c r="A19" s="3">
        <v>1</v>
      </c>
      <c r="B19" s="121">
        <v>46357</v>
      </c>
      <c r="C19" s="118">
        <f t="shared" si="1"/>
        <v>283831.47323619691</v>
      </c>
      <c r="D19" s="118">
        <f t="shared" si="2"/>
        <v>823.11127238497102</v>
      </c>
      <c r="E19" s="118">
        <f t="shared" si="0"/>
        <v>527.88872761502898</v>
      </c>
      <c r="F19" s="118">
        <v>1351</v>
      </c>
      <c r="G19" s="117"/>
      <c r="H19" s="117"/>
      <c r="I19" s="118">
        <v>700</v>
      </c>
      <c r="J19" s="118">
        <f>(I19/$J$2)/0.66</f>
        <v>13.257575757575758</v>
      </c>
      <c r="K19" s="118">
        <f>SUM(E7:E19)+G15</f>
        <v>4696.4154914181945</v>
      </c>
      <c r="L19" s="118">
        <f>SUM(I7:I19)-SUM(D7:D19)</f>
        <v>-3236.0845085818073</v>
      </c>
      <c r="M19" s="118">
        <v>230</v>
      </c>
      <c r="N19" s="118">
        <v>3040</v>
      </c>
      <c r="O19" s="118">
        <f t="shared" si="3"/>
        <v>-123.11127238497102</v>
      </c>
      <c r="P19" s="118">
        <f>SUM(O7:O19)+M19+N19</f>
        <v>-3763.0845085818055</v>
      </c>
      <c r="Q19" s="118">
        <f>L19+M19+N19-H7</f>
        <v>-3966.0845085818073</v>
      </c>
      <c r="R19" s="122">
        <f>Q19/K19</f>
        <v>-0.84449182910436094</v>
      </c>
      <c r="S19" s="111"/>
    </row>
    <row r="20" spans="1:19" x14ac:dyDescent="0.2">
      <c r="B20" s="123">
        <v>46388</v>
      </c>
      <c r="C20" s="119">
        <f t="shared" si="1"/>
        <v>283303.5845085819</v>
      </c>
      <c r="D20" s="119">
        <f t="shared" si="2"/>
        <v>821.58039507488741</v>
      </c>
      <c r="E20" s="119">
        <f t="shared" si="0"/>
        <v>529.41960492511259</v>
      </c>
      <c r="F20" s="119">
        <v>1351</v>
      </c>
      <c r="G20" s="120"/>
      <c r="H20" s="120"/>
      <c r="I20" s="119">
        <v>700</v>
      </c>
      <c r="J20" s="120"/>
      <c r="K20" s="119"/>
      <c r="L20" s="119"/>
      <c r="M20" s="119"/>
      <c r="N20" s="119"/>
      <c r="O20" s="119">
        <f t="shared" si="3"/>
        <v>-121.58039507488741</v>
      </c>
      <c r="P20" s="119"/>
      <c r="Q20" s="120"/>
      <c r="R20" s="120"/>
    </row>
    <row r="21" spans="1:19" x14ac:dyDescent="0.2">
      <c r="B21" s="123">
        <v>46419</v>
      </c>
      <c r="C21" s="119">
        <f t="shared" si="1"/>
        <v>282774.16490365681</v>
      </c>
      <c r="D21" s="119">
        <f t="shared" si="2"/>
        <v>820.04507822060475</v>
      </c>
      <c r="E21" s="119">
        <f t="shared" si="0"/>
        <v>530.95492177939525</v>
      </c>
      <c r="F21" s="119">
        <v>1351</v>
      </c>
      <c r="G21" s="120"/>
      <c r="H21" s="120"/>
      <c r="I21" s="119">
        <v>700</v>
      </c>
      <c r="J21" s="120"/>
      <c r="K21" s="119"/>
      <c r="L21" s="119"/>
      <c r="M21" s="119"/>
      <c r="N21" s="119"/>
      <c r="O21" s="119">
        <f t="shared" si="3"/>
        <v>-120.04507822060475</v>
      </c>
      <c r="P21" s="119"/>
      <c r="Q21" s="120"/>
      <c r="R21" s="120"/>
    </row>
    <row r="22" spans="1:19" x14ac:dyDescent="0.2">
      <c r="B22" s="123">
        <v>46447</v>
      </c>
      <c r="C22" s="119">
        <f t="shared" si="1"/>
        <v>282243.20998187741</v>
      </c>
      <c r="D22" s="119">
        <f t="shared" si="2"/>
        <v>818.50530894744452</v>
      </c>
      <c r="E22" s="119">
        <f t="shared" si="0"/>
        <v>532.49469105255548</v>
      </c>
      <c r="F22" s="119">
        <v>1351</v>
      </c>
      <c r="G22" s="120"/>
      <c r="H22" s="120"/>
      <c r="I22" s="119">
        <v>700</v>
      </c>
      <c r="J22" s="120"/>
      <c r="K22" s="119"/>
      <c r="L22" s="119"/>
      <c r="M22" s="119"/>
      <c r="N22" s="119"/>
      <c r="O22" s="119">
        <f t="shared" si="3"/>
        <v>-118.50530894744452</v>
      </c>
      <c r="P22" s="119"/>
      <c r="Q22" s="120"/>
      <c r="R22" s="120"/>
    </row>
    <row r="23" spans="1:19" x14ac:dyDescent="0.2">
      <c r="B23" s="123">
        <v>46478</v>
      </c>
      <c r="C23" s="119">
        <f t="shared" si="1"/>
        <v>281710.71529082488</v>
      </c>
      <c r="D23" s="119">
        <f t="shared" si="2"/>
        <v>816.96107434339217</v>
      </c>
      <c r="E23" s="119">
        <f t="shared" si="0"/>
        <v>534.03892565660783</v>
      </c>
      <c r="F23" s="119">
        <v>1351</v>
      </c>
      <c r="G23" s="120"/>
      <c r="H23" s="120"/>
      <c r="I23" s="119">
        <v>700</v>
      </c>
      <c r="J23" s="120"/>
      <c r="K23" s="119"/>
      <c r="L23" s="119"/>
      <c r="M23" s="119"/>
      <c r="N23" s="119"/>
      <c r="O23" s="119">
        <f t="shared" si="3"/>
        <v>-116.96107434339217</v>
      </c>
      <c r="P23" s="119"/>
      <c r="Q23" s="120"/>
      <c r="R23" s="120"/>
    </row>
    <row r="24" spans="1:19" x14ac:dyDescent="0.2">
      <c r="B24" s="123">
        <v>46508</v>
      </c>
      <c r="C24" s="119">
        <f t="shared" si="1"/>
        <v>281176.6763651683</v>
      </c>
      <c r="D24" s="119">
        <f t="shared" si="2"/>
        <v>815.41236145898802</v>
      </c>
      <c r="E24" s="119">
        <f t="shared" si="0"/>
        <v>535.58763854101198</v>
      </c>
      <c r="F24" s="119">
        <v>1351</v>
      </c>
      <c r="G24" s="120"/>
      <c r="H24" s="120"/>
      <c r="I24" s="119">
        <v>700</v>
      </c>
      <c r="J24" s="120"/>
      <c r="K24" s="119"/>
      <c r="L24" s="119"/>
      <c r="M24" s="119"/>
      <c r="N24" s="119"/>
      <c r="O24" s="119">
        <f t="shared" si="3"/>
        <v>-115.41236145898802</v>
      </c>
      <c r="P24" s="119"/>
      <c r="Q24" s="120"/>
      <c r="R24" s="120"/>
    </row>
    <row r="25" spans="1:19" x14ac:dyDescent="0.2">
      <c r="B25" s="123">
        <v>46539</v>
      </c>
      <c r="C25" s="119">
        <f t="shared" si="1"/>
        <v>280641.08872662729</v>
      </c>
      <c r="D25" s="119">
        <f t="shared" si="2"/>
        <v>813.85915730721911</v>
      </c>
      <c r="E25" s="119">
        <f t="shared" si="0"/>
        <v>537.14084269278089</v>
      </c>
      <c r="F25" s="119">
        <v>1351</v>
      </c>
      <c r="G25" s="120"/>
      <c r="H25" s="120"/>
      <c r="I25" s="119">
        <v>700</v>
      </c>
      <c r="J25" s="120"/>
      <c r="K25" s="119"/>
      <c r="L25" s="119"/>
      <c r="M25" s="119"/>
      <c r="N25" s="119"/>
      <c r="O25" s="119">
        <f t="shared" si="3"/>
        <v>-113.85915730721911</v>
      </c>
      <c r="P25" s="119"/>
      <c r="Q25" s="120"/>
      <c r="R25" s="120"/>
    </row>
    <row r="26" spans="1:19" x14ac:dyDescent="0.2">
      <c r="B26" s="123">
        <v>46569</v>
      </c>
      <c r="C26" s="119">
        <f t="shared" si="1"/>
        <v>280103.94788393454</v>
      </c>
      <c r="D26" s="119">
        <f t="shared" si="2"/>
        <v>812.3014488634102</v>
      </c>
      <c r="E26" s="119">
        <f t="shared" si="0"/>
        <v>538.6985511365898</v>
      </c>
      <c r="F26" s="119">
        <v>1351</v>
      </c>
      <c r="G26" s="120"/>
      <c r="H26" s="120"/>
      <c r="I26" s="119">
        <v>700</v>
      </c>
      <c r="J26" s="120"/>
      <c r="K26" s="119"/>
      <c r="L26" s="119"/>
      <c r="M26" s="119"/>
      <c r="N26" s="119"/>
      <c r="O26" s="119">
        <f t="shared" si="3"/>
        <v>-112.3014488634102</v>
      </c>
      <c r="P26" s="119"/>
      <c r="Q26" s="120"/>
      <c r="R26" s="120"/>
    </row>
    <row r="27" spans="1:19" x14ac:dyDescent="0.2">
      <c r="B27" s="123">
        <v>46600</v>
      </c>
      <c r="C27" s="119">
        <f t="shared" si="1"/>
        <v>279565.24933279795</v>
      </c>
      <c r="D27" s="119">
        <f t="shared" si="2"/>
        <v>810.73922306511395</v>
      </c>
      <c r="E27" s="119">
        <f t="shared" si="0"/>
        <v>540.26077693488605</v>
      </c>
      <c r="F27" s="119">
        <v>1351</v>
      </c>
      <c r="G27" s="120"/>
      <c r="H27" s="120"/>
      <c r="I27" s="119">
        <v>700</v>
      </c>
      <c r="J27" s="120"/>
      <c r="K27" s="119"/>
      <c r="L27" s="119"/>
      <c r="M27" s="119"/>
      <c r="N27" s="119"/>
      <c r="O27" s="119">
        <f t="shared" si="3"/>
        <v>-110.73922306511395</v>
      </c>
      <c r="P27" s="119"/>
      <c r="Q27" s="120"/>
      <c r="R27" s="120"/>
    </row>
    <row r="28" spans="1:19" x14ac:dyDescent="0.2">
      <c r="B28" s="123">
        <v>46630</v>
      </c>
      <c r="C28" s="119">
        <f t="shared" si="1"/>
        <v>279024.98855586303</v>
      </c>
      <c r="D28" s="119">
        <v>0</v>
      </c>
      <c r="E28" s="119">
        <v>0</v>
      </c>
      <c r="F28" s="119">
        <v>0</v>
      </c>
      <c r="G28" s="119"/>
      <c r="H28" s="119"/>
      <c r="I28" s="119"/>
      <c r="J28" s="120"/>
      <c r="K28" s="119"/>
      <c r="L28" s="119"/>
      <c r="M28" s="119"/>
      <c r="N28" s="119"/>
      <c r="O28" s="119">
        <f>D28-G28</f>
        <v>0</v>
      </c>
      <c r="P28" s="119"/>
      <c r="Q28" s="120"/>
      <c r="R28" s="120"/>
    </row>
    <row r="29" spans="1:19" x14ac:dyDescent="0.2">
      <c r="B29" s="123">
        <v>46631</v>
      </c>
      <c r="C29" s="119">
        <f>C28-G28</f>
        <v>279024.98855586303</v>
      </c>
      <c r="D29" s="119">
        <f t="shared" ref="D29:D40" si="4">(C29*S$2)/12</f>
        <v>809.17246681200277</v>
      </c>
      <c r="E29" s="119">
        <f t="shared" si="0"/>
        <v>541.82753318799723</v>
      </c>
      <c r="F29" s="119">
        <v>1351</v>
      </c>
      <c r="G29" s="120"/>
      <c r="H29" s="120"/>
      <c r="I29" s="119">
        <v>700</v>
      </c>
      <c r="J29" s="120"/>
      <c r="K29" s="119"/>
      <c r="L29" s="119"/>
      <c r="M29" s="119"/>
      <c r="N29" s="119"/>
      <c r="O29" s="119">
        <f t="shared" ref="O29:O40" si="5">I29-D29</f>
        <v>-109.17246681200277</v>
      </c>
      <c r="P29" s="119"/>
      <c r="Q29" s="120"/>
      <c r="R29" s="120"/>
    </row>
    <row r="30" spans="1:19" x14ac:dyDescent="0.2">
      <c r="B30" s="123">
        <v>46661</v>
      </c>
      <c r="C30" s="119">
        <f t="shared" si="1"/>
        <v>278483.16102267505</v>
      </c>
      <c r="D30" s="119">
        <f t="shared" si="4"/>
        <v>807.60116696575767</v>
      </c>
      <c r="E30" s="119">
        <f t="shared" si="0"/>
        <v>543.39883303424233</v>
      </c>
      <c r="F30" s="119">
        <v>1351</v>
      </c>
      <c r="G30" s="120"/>
      <c r="H30" s="120"/>
      <c r="I30" s="119">
        <v>700</v>
      </c>
      <c r="J30" s="120"/>
      <c r="K30" s="119"/>
      <c r="L30" s="119"/>
      <c r="M30" s="119"/>
      <c r="N30" s="119"/>
      <c r="O30" s="119">
        <f t="shared" si="5"/>
        <v>-107.60116696575767</v>
      </c>
      <c r="P30" s="119"/>
      <c r="Q30" s="120"/>
      <c r="R30" s="120"/>
    </row>
    <row r="31" spans="1:19" x14ac:dyDescent="0.2">
      <c r="A31" s="115">
        <v>1.0149999999999999</v>
      </c>
      <c r="B31" s="123">
        <v>46692</v>
      </c>
      <c r="C31" s="119">
        <f t="shared" si="1"/>
        <v>277939.76218964078</v>
      </c>
      <c r="D31" s="119">
        <f t="shared" si="4"/>
        <v>806.0253103499582</v>
      </c>
      <c r="E31" s="119">
        <f t="shared" si="0"/>
        <v>544.9746896500418</v>
      </c>
      <c r="F31" s="119">
        <v>1351</v>
      </c>
      <c r="G31" s="120"/>
      <c r="H31" s="120"/>
      <c r="I31" s="119">
        <v>700</v>
      </c>
      <c r="J31" s="120"/>
      <c r="K31" s="119"/>
      <c r="L31" s="119"/>
      <c r="M31" s="119"/>
      <c r="N31" s="119"/>
      <c r="O31" s="119">
        <f t="shared" si="5"/>
        <v>-106.0253103499582</v>
      </c>
      <c r="P31" s="119"/>
      <c r="Q31" s="120"/>
      <c r="R31" s="120"/>
    </row>
    <row r="32" spans="1:19" s="3" customFormat="1" x14ac:dyDescent="0.2">
      <c r="A32" s="3">
        <v>2</v>
      </c>
      <c r="B32" s="121">
        <v>46722</v>
      </c>
      <c r="C32" s="118">
        <f t="shared" si="1"/>
        <v>277394.78749999072</v>
      </c>
      <c r="D32" s="118">
        <f t="shared" si="4"/>
        <v>804.44488374997309</v>
      </c>
      <c r="E32" s="118">
        <f t="shared" si="0"/>
        <v>546.55511625002691</v>
      </c>
      <c r="F32" s="118">
        <v>1351</v>
      </c>
      <c r="G32" s="117"/>
      <c r="H32" s="117"/>
      <c r="I32" s="118">
        <v>700</v>
      </c>
      <c r="J32" s="118">
        <f>(I32/$J$2)/0.66</f>
        <v>13.257575757575758</v>
      </c>
      <c r="K32" s="118">
        <f>SUM(E20:E32)+G28</f>
        <v>6455.352124841248</v>
      </c>
      <c r="L32" s="118">
        <f>SUM(I20:I32)-SUM(D20:D32)</f>
        <v>-1356.6478751587529</v>
      </c>
      <c r="M32" s="118">
        <v>230</v>
      </c>
      <c r="N32" s="118">
        <v>2500</v>
      </c>
      <c r="O32" s="118">
        <f t="shared" si="5"/>
        <v>-104.44488374997309</v>
      </c>
      <c r="P32" s="118">
        <f>SUM(O20:O32)+M32+N32</f>
        <v>1373.352124841248</v>
      </c>
      <c r="Q32" s="118">
        <f>L32+M32+N32</f>
        <v>1373.3521248412471</v>
      </c>
      <c r="R32" s="122">
        <f>Q32/K32</f>
        <v>0.21274627600194948</v>
      </c>
      <c r="S32" s="111"/>
    </row>
    <row r="33" spans="1:19" x14ac:dyDescent="0.2">
      <c r="B33" s="123">
        <v>46753</v>
      </c>
      <c r="C33" s="119">
        <f t="shared" si="1"/>
        <v>276848.23238374072</v>
      </c>
      <c r="D33" s="119">
        <f t="shared" si="4"/>
        <v>802.859873912848</v>
      </c>
      <c r="E33" s="119">
        <f t="shared" si="0"/>
        <v>548.140126087152</v>
      </c>
      <c r="F33" s="119">
        <v>1351</v>
      </c>
      <c r="G33" s="120"/>
      <c r="H33" s="120"/>
      <c r="I33" s="119">
        <f>I32</f>
        <v>700</v>
      </c>
      <c r="J33" s="120"/>
      <c r="K33" s="119"/>
      <c r="L33" s="119"/>
      <c r="M33" s="119"/>
      <c r="N33" s="119"/>
      <c r="O33" s="119">
        <f t="shared" si="5"/>
        <v>-102.859873912848</v>
      </c>
      <c r="P33" s="119"/>
      <c r="Q33" s="120"/>
      <c r="R33" s="120"/>
    </row>
    <row r="34" spans="1:19" x14ac:dyDescent="0.2">
      <c r="B34" s="123">
        <v>46784</v>
      </c>
      <c r="C34" s="119">
        <f t="shared" si="1"/>
        <v>276300.09225765354</v>
      </c>
      <c r="D34" s="119">
        <f t="shared" si="4"/>
        <v>801.2702675471952</v>
      </c>
      <c r="E34" s="119">
        <f t="shared" si="0"/>
        <v>549.7297324528048</v>
      </c>
      <c r="F34" s="119">
        <v>1351</v>
      </c>
      <c r="G34" s="120"/>
      <c r="H34" s="120"/>
      <c r="I34" s="119">
        <f>I33</f>
        <v>700</v>
      </c>
      <c r="J34" s="120"/>
      <c r="K34" s="119"/>
      <c r="L34" s="119"/>
      <c r="M34" s="119"/>
      <c r="N34" s="119"/>
      <c r="O34" s="119">
        <f t="shared" si="5"/>
        <v>-101.2702675471952</v>
      </c>
      <c r="P34" s="119"/>
      <c r="Q34" s="120"/>
      <c r="R34" s="120"/>
    </row>
    <row r="35" spans="1:19" x14ac:dyDescent="0.2">
      <c r="B35" s="123">
        <v>46813</v>
      </c>
      <c r="C35" s="119">
        <f t="shared" si="1"/>
        <v>275750.3625252007</v>
      </c>
      <c r="D35" s="119">
        <f t="shared" si="4"/>
        <v>799.67605132308199</v>
      </c>
      <c r="E35" s="119">
        <f t="shared" si="0"/>
        <v>551.32394867691801</v>
      </c>
      <c r="F35" s="119">
        <v>1351</v>
      </c>
      <c r="G35" s="120"/>
      <c r="H35" s="120"/>
      <c r="I35" s="119">
        <f>I34</f>
        <v>700</v>
      </c>
      <c r="J35" s="120"/>
      <c r="K35" s="119"/>
      <c r="L35" s="119"/>
      <c r="M35" s="119"/>
      <c r="N35" s="119"/>
      <c r="O35" s="119">
        <f t="shared" si="5"/>
        <v>-99.676051323081992</v>
      </c>
      <c r="P35" s="119"/>
      <c r="Q35" s="120"/>
      <c r="R35" s="120"/>
    </row>
    <row r="36" spans="1:19" x14ac:dyDescent="0.2">
      <c r="B36" s="123">
        <v>46844</v>
      </c>
      <c r="C36" s="119">
        <f t="shared" si="1"/>
        <v>275199.03857652377</v>
      </c>
      <c r="D36" s="119">
        <f t="shared" si="4"/>
        <v>798.07721187191885</v>
      </c>
      <c r="E36" s="119">
        <f t="shared" si="0"/>
        <v>552.92278812808115</v>
      </c>
      <c r="F36" s="119">
        <v>1351</v>
      </c>
      <c r="G36" s="120"/>
      <c r="H36" s="120"/>
      <c r="I36" s="119">
        <f>I35</f>
        <v>700</v>
      </c>
      <c r="J36" s="120"/>
      <c r="K36" s="119"/>
      <c r="L36" s="119"/>
      <c r="M36" s="119"/>
      <c r="N36" s="119"/>
      <c r="O36" s="119">
        <f t="shared" si="5"/>
        <v>-98.077211871918848</v>
      </c>
      <c r="P36" s="119"/>
      <c r="Q36" s="120"/>
      <c r="R36" s="120"/>
    </row>
    <row r="37" spans="1:19" x14ac:dyDescent="0.2">
      <c r="B37" s="123">
        <v>46874</v>
      </c>
      <c r="C37" s="119">
        <f t="shared" si="1"/>
        <v>274646.11578839569</v>
      </c>
      <c r="D37" s="119">
        <f t="shared" si="4"/>
        <v>796.47373578634745</v>
      </c>
      <c r="E37" s="119">
        <f t="shared" si="0"/>
        <v>554.52626421365255</v>
      </c>
      <c r="F37" s="119">
        <v>1351</v>
      </c>
      <c r="G37" s="120"/>
      <c r="H37" s="120"/>
      <c r="I37" s="119">
        <f t="shared" ref="I37:I40" si="6">I36</f>
        <v>700</v>
      </c>
      <c r="J37" s="120"/>
      <c r="K37" s="119"/>
      <c r="L37" s="119"/>
      <c r="M37" s="119"/>
      <c r="N37" s="119"/>
      <c r="O37" s="119">
        <f t="shared" si="5"/>
        <v>-96.473735786347447</v>
      </c>
      <c r="P37" s="119"/>
      <c r="Q37" s="120"/>
      <c r="R37" s="120"/>
    </row>
    <row r="38" spans="1:19" x14ac:dyDescent="0.2">
      <c r="B38" s="123">
        <v>46905</v>
      </c>
      <c r="C38" s="119">
        <f t="shared" si="1"/>
        <v>274091.58952418203</v>
      </c>
      <c r="D38" s="119">
        <f t="shared" si="4"/>
        <v>794.86560962012788</v>
      </c>
      <c r="E38" s="119">
        <f t="shared" si="0"/>
        <v>556.13439037987212</v>
      </c>
      <c r="F38" s="119">
        <v>1351</v>
      </c>
      <c r="G38" s="120"/>
      <c r="H38" s="120"/>
      <c r="I38" s="119">
        <f t="shared" si="6"/>
        <v>700</v>
      </c>
      <c r="J38" s="120"/>
      <c r="K38" s="119"/>
      <c r="L38" s="119"/>
      <c r="M38" s="119"/>
      <c r="N38" s="119"/>
      <c r="O38" s="119">
        <f t="shared" si="5"/>
        <v>-94.865609620127884</v>
      </c>
      <c r="P38" s="119"/>
      <c r="Q38" s="120"/>
      <c r="R38" s="120"/>
    </row>
    <row r="39" spans="1:19" x14ac:dyDescent="0.2">
      <c r="B39" s="123">
        <v>46935</v>
      </c>
      <c r="C39" s="119">
        <f t="shared" si="1"/>
        <v>273535.45513380214</v>
      </c>
      <c r="D39" s="119">
        <f t="shared" si="4"/>
        <v>793.25281988802624</v>
      </c>
      <c r="E39" s="119">
        <f t="shared" si="0"/>
        <v>557.74718011197376</v>
      </c>
      <c r="F39" s="119">
        <v>1351</v>
      </c>
      <c r="G39" s="120"/>
      <c r="H39" s="120"/>
      <c r="I39" s="119">
        <f t="shared" si="6"/>
        <v>700</v>
      </c>
      <c r="J39" s="120"/>
      <c r="K39" s="119"/>
      <c r="L39" s="119"/>
      <c r="M39" s="119"/>
      <c r="N39" s="119"/>
      <c r="O39" s="119">
        <f t="shared" si="5"/>
        <v>-93.252819888026238</v>
      </c>
      <c r="P39" s="119"/>
      <c r="Q39" s="120"/>
      <c r="R39" s="120"/>
    </row>
    <row r="40" spans="1:19" x14ac:dyDescent="0.2">
      <c r="B40" s="123">
        <v>46966</v>
      </c>
      <c r="C40" s="119">
        <f t="shared" si="1"/>
        <v>272977.70795369014</v>
      </c>
      <c r="D40" s="119">
        <f t="shared" si="4"/>
        <v>791.63535306570145</v>
      </c>
      <c r="E40" s="119">
        <f t="shared" si="0"/>
        <v>559.36464693429855</v>
      </c>
      <c r="F40" s="119">
        <v>1351</v>
      </c>
      <c r="G40" s="120"/>
      <c r="H40" s="120"/>
      <c r="I40" s="119">
        <f t="shared" si="6"/>
        <v>700</v>
      </c>
      <c r="J40" s="120"/>
      <c r="K40" s="119"/>
      <c r="L40" s="119"/>
      <c r="M40" s="119"/>
      <c r="N40" s="119"/>
      <c r="O40" s="119">
        <f t="shared" si="5"/>
        <v>-91.635353065701452</v>
      </c>
      <c r="P40" s="119"/>
      <c r="Q40" s="120"/>
      <c r="R40" s="120"/>
    </row>
    <row r="41" spans="1:19" x14ac:dyDescent="0.2">
      <c r="B41" s="123">
        <v>46996</v>
      </c>
      <c r="C41" s="119">
        <f t="shared" si="1"/>
        <v>272418.34330675582</v>
      </c>
      <c r="D41" s="119">
        <v>0</v>
      </c>
      <c r="E41" s="119">
        <v>0</v>
      </c>
      <c r="F41" s="119">
        <v>0</v>
      </c>
      <c r="G41" s="119"/>
      <c r="H41" s="119"/>
      <c r="I41" s="119"/>
      <c r="J41" s="120"/>
      <c r="K41" s="119"/>
      <c r="L41" s="119"/>
      <c r="M41" s="119"/>
      <c r="N41" s="119"/>
      <c r="O41" s="119">
        <f>D41-G41</f>
        <v>0</v>
      </c>
      <c r="P41" s="119"/>
      <c r="Q41" s="120"/>
      <c r="R41" s="120"/>
    </row>
    <row r="42" spans="1:19" x14ac:dyDescent="0.2">
      <c r="B42" s="123">
        <v>46997</v>
      </c>
      <c r="C42" s="119">
        <f>C41-G41</f>
        <v>272418.34330675582</v>
      </c>
      <c r="D42" s="119">
        <f t="shared" ref="D42:D53" si="7">(C42*S$2)/12</f>
        <v>790.01319558959176</v>
      </c>
      <c r="E42" s="119">
        <f t="shared" si="0"/>
        <v>560.98680441040824</v>
      </c>
      <c r="F42" s="119">
        <v>1351</v>
      </c>
      <c r="G42" s="120"/>
      <c r="H42" s="120"/>
      <c r="I42" s="119">
        <f>I40</f>
        <v>700</v>
      </c>
      <c r="J42" s="120"/>
      <c r="K42" s="119"/>
      <c r="L42" s="119"/>
      <c r="M42" s="119"/>
      <c r="N42" s="119"/>
      <c r="O42" s="119">
        <f t="shared" ref="O42:O53" si="8">I42-D42</f>
        <v>-90.01319558959176</v>
      </c>
      <c r="P42" s="119"/>
      <c r="Q42" s="120"/>
      <c r="R42" s="120"/>
    </row>
    <row r="43" spans="1:19" x14ac:dyDescent="0.2">
      <c r="B43" s="123">
        <v>47027</v>
      </c>
      <c r="C43" s="119">
        <f t="shared" si="1"/>
        <v>271857.35650234541</v>
      </c>
      <c r="D43" s="119">
        <f t="shared" si="7"/>
        <v>788.38633385680168</v>
      </c>
      <c r="E43" s="119">
        <f t="shared" si="0"/>
        <v>562.61366614319832</v>
      </c>
      <c r="F43" s="119">
        <v>1351</v>
      </c>
      <c r="G43" s="120"/>
      <c r="H43" s="120"/>
      <c r="I43" s="119">
        <f t="shared" ref="I43:I44" si="9">I42</f>
        <v>700</v>
      </c>
      <c r="J43" s="120"/>
      <c r="K43" s="119"/>
      <c r="L43" s="119"/>
      <c r="M43" s="119"/>
      <c r="N43" s="119"/>
      <c r="O43" s="119">
        <f t="shared" si="8"/>
        <v>-88.386333856801684</v>
      </c>
      <c r="P43" s="119"/>
      <c r="Q43" s="120"/>
      <c r="R43" s="120"/>
    </row>
    <row r="44" spans="1:19" x14ac:dyDescent="0.2">
      <c r="B44" s="123">
        <v>47058</v>
      </c>
      <c r="C44" s="119">
        <f t="shared" si="1"/>
        <v>271294.7428362022</v>
      </c>
      <c r="D44" s="119">
        <f t="shared" si="7"/>
        <v>786.7547542249863</v>
      </c>
      <c r="E44" s="119">
        <f t="shared" si="0"/>
        <v>564.2452457750137</v>
      </c>
      <c r="F44" s="119">
        <v>1351</v>
      </c>
      <c r="G44" s="120"/>
      <c r="H44" s="120"/>
      <c r="I44" s="119">
        <f t="shared" si="9"/>
        <v>700</v>
      </c>
      <c r="J44" s="120"/>
      <c r="K44" s="119"/>
      <c r="L44" s="119"/>
      <c r="M44" s="119"/>
      <c r="N44" s="119"/>
      <c r="O44" s="119">
        <f t="shared" si="8"/>
        <v>-86.7547542249863</v>
      </c>
      <c r="P44" s="119"/>
      <c r="Q44" s="120"/>
      <c r="R44" s="120"/>
    </row>
    <row r="45" spans="1:19" s="3" customFormat="1" x14ac:dyDescent="0.2">
      <c r="A45" s="3">
        <v>3</v>
      </c>
      <c r="B45" s="121">
        <v>47088</v>
      </c>
      <c r="C45" s="118">
        <f t="shared" si="1"/>
        <v>270730.49759042717</v>
      </c>
      <c r="D45" s="118">
        <f t="shared" si="7"/>
        <v>785.1184430122388</v>
      </c>
      <c r="E45" s="118">
        <f t="shared" si="0"/>
        <v>565.8815569877612</v>
      </c>
      <c r="F45" s="118">
        <v>1351</v>
      </c>
      <c r="G45" s="117"/>
      <c r="H45" s="117"/>
      <c r="I45" s="118">
        <v>700</v>
      </c>
      <c r="J45" s="118">
        <f>(I45/$J$2)/0.66</f>
        <v>13.257575757575758</v>
      </c>
      <c r="K45" s="118">
        <f>SUM(E33:E45)+G41</f>
        <v>6683.6163503011348</v>
      </c>
      <c r="L45" s="118">
        <f>SUM(I33:I45)-SUM(D33:D45)</f>
        <v>-1128.3836496988661</v>
      </c>
      <c r="M45" s="118">
        <v>230</v>
      </c>
      <c r="N45" s="118">
        <v>2500</v>
      </c>
      <c r="O45" s="118">
        <f t="shared" si="8"/>
        <v>-85.118443012238799</v>
      </c>
      <c r="P45" s="118">
        <f>SUM(O33:O45)+M45+N45</f>
        <v>1601.6163503011344</v>
      </c>
      <c r="Q45" s="118">
        <f>L45+M45+N45</f>
        <v>1601.6163503011339</v>
      </c>
      <c r="R45" s="122">
        <f>Q45/K45</f>
        <v>0.23963319651478379</v>
      </c>
      <c r="S45" s="111"/>
    </row>
    <row r="46" spans="1:19" x14ac:dyDescent="0.2">
      <c r="B46" s="123">
        <v>47119</v>
      </c>
      <c r="C46" s="119">
        <f t="shared" si="1"/>
        <v>270164.61603343941</v>
      </c>
      <c r="D46" s="119">
        <f t="shared" si="7"/>
        <v>783.4773864969743</v>
      </c>
      <c r="E46" s="119">
        <f t="shared" si="0"/>
        <v>567.5226135030257</v>
      </c>
      <c r="F46" s="119">
        <v>1351</v>
      </c>
      <c r="G46" s="120"/>
      <c r="H46" s="120"/>
      <c r="I46" s="119">
        <f t="shared" ref="I46:I53" si="10">I45</f>
        <v>700</v>
      </c>
      <c r="J46" s="120"/>
      <c r="K46" s="119"/>
      <c r="L46" s="119"/>
      <c r="M46" s="119"/>
      <c r="N46" s="119"/>
      <c r="O46" s="119">
        <f t="shared" si="8"/>
        <v>-83.477386496974304</v>
      </c>
      <c r="P46" s="119"/>
      <c r="Q46" s="120"/>
      <c r="R46" s="120"/>
    </row>
    <row r="47" spans="1:19" x14ac:dyDescent="0.2">
      <c r="B47" s="123">
        <v>47150</v>
      </c>
      <c r="C47" s="119">
        <f t="shared" si="1"/>
        <v>269597.09341993637</v>
      </c>
      <c r="D47" s="119">
        <f t="shared" si="7"/>
        <v>781.83157091781538</v>
      </c>
      <c r="E47" s="119">
        <f t="shared" si="0"/>
        <v>569.16842908218462</v>
      </c>
      <c r="F47" s="119">
        <v>1351</v>
      </c>
      <c r="G47" s="120"/>
      <c r="H47" s="120"/>
      <c r="I47" s="119">
        <f t="shared" si="10"/>
        <v>700</v>
      </c>
      <c r="J47" s="120"/>
      <c r="K47" s="119"/>
      <c r="L47" s="119"/>
      <c r="M47" s="119"/>
      <c r="N47" s="119"/>
      <c r="O47" s="119">
        <f t="shared" si="8"/>
        <v>-81.831570917815384</v>
      </c>
      <c r="P47" s="119"/>
      <c r="Q47" s="120"/>
      <c r="R47" s="120"/>
    </row>
    <row r="48" spans="1:19" x14ac:dyDescent="0.2">
      <c r="B48" s="123">
        <v>47178</v>
      </c>
      <c r="C48" s="119">
        <f t="shared" si="1"/>
        <v>269027.92499085417</v>
      </c>
      <c r="D48" s="119">
        <f t="shared" si="7"/>
        <v>780.180982473477</v>
      </c>
      <c r="E48" s="119">
        <f t="shared" si="0"/>
        <v>570.819017526523</v>
      </c>
      <c r="F48" s="119">
        <v>1351</v>
      </c>
      <c r="G48" s="120"/>
      <c r="H48" s="120"/>
      <c r="I48" s="119">
        <f t="shared" si="10"/>
        <v>700</v>
      </c>
      <c r="J48" s="120"/>
      <c r="K48" s="119"/>
      <c r="L48" s="119"/>
      <c r="M48" s="119"/>
      <c r="N48" s="119"/>
      <c r="O48" s="119">
        <f t="shared" si="8"/>
        <v>-80.180982473477002</v>
      </c>
      <c r="P48" s="119"/>
      <c r="Q48" s="120"/>
      <c r="R48" s="120"/>
    </row>
    <row r="49" spans="1:18" x14ac:dyDescent="0.2">
      <c r="B49" s="123">
        <v>47209</v>
      </c>
      <c r="C49" s="119">
        <f t="shared" si="1"/>
        <v>268457.10597332765</v>
      </c>
      <c r="D49" s="119">
        <f t="shared" si="7"/>
        <v>778.5256073226501</v>
      </c>
      <c r="E49" s="119">
        <f t="shared" si="0"/>
        <v>572.4743926773499</v>
      </c>
      <c r="F49" s="119">
        <v>1351</v>
      </c>
      <c r="G49" s="120"/>
      <c r="H49" s="120"/>
      <c r="I49" s="119">
        <f t="shared" si="10"/>
        <v>700</v>
      </c>
      <c r="J49" s="120"/>
      <c r="K49" s="119"/>
      <c r="L49" s="119"/>
      <c r="M49" s="119"/>
      <c r="N49" s="119"/>
      <c r="O49" s="119">
        <f t="shared" si="8"/>
        <v>-78.525607322650103</v>
      </c>
      <c r="P49" s="119"/>
      <c r="Q49" s="120"/>
      <c r="R49" s="120"/>
    </row>
    <row r="50" spans="1:18" x14ac:dyDescent="0.2">
      <c r="B50" s="123">
        <v>47239</v>
      </c>
      <c r="C50" s="119">
        <f t="shared" si="1"/>
        <v>267884.63158065028</v>
      </c>
      <c r="D50" s="119">
        <f t="shared" si="7"/>
        <v>776.86543158388577</v>
      </c>
      <c r="E50" s="119">
        <f t="shared" si="0"/>
        <v>574.13456841611423</v>
      </c>
      <c r="F50" s="119">
        <v>1351</v>
      </c>
      <c r="G50" s="120"/>
      <c r="H50" s="120"/>
      <c r="I50" s="119">
        <f t="shared" si="10"/>
        <v>700</v>
      </c>
      <c r="J50" s="120"/>
      <c r="K50" s="119"/>
      <c r="L50" s="119"/>
      <c r="M50" s="119"/>
      <c r="N50" s="119"/>
      <c r="O50" s="119">
        <f t="shared" si="8"/>
        <v>-76.865431583885766</v>
      </c>
      <c r="P50" s="119"/>
      <c r="Q50" s="120"/>
      <c r="R50" s="120"/>
    </row>
    <row r="51" spans="1:18" x14ac:dyDescent="0.2">
      <c r="B51" s="123">
        <v>47270</v>
      </c>
      <c r="C51" s="119">
        <f t="shared" si="1"/>
        <v>267310.49701223418</v>
      </c>
      <c r="D51" s="119">
        <f t="shared" si="7"/>
        <v>775.20044133547901</v>
      </c>
      <c r="E51" s="119">
        <f t="shared" si="0"/>
        <v>575.79955866452099</v>
      </c>
      <c r="F51" s="119">
        <v>1351</v>
      </c>
      <c r="G51" s="120"/>
      <c r="H51" s="120"/>
      <c r="I51" s="119">
        <f t="shared" si="10"/>
        <v>700</v>
      </c>
      <c r="J51" s="120"/>
      <c r="K51" s="119"/>
      <c r="L51" s="119"/>
      <c r="M51" s="119"/>
      <c r="N51" s="119"/>
      <c r="O51" s="119">
        <f t="shared" si="8"/>
        <v>-75.200441335479013</v>
      </c>
      <c r="P51" s="119"/>
      <c r="Q51" s="120"/>
      <c r="R51" s="120"/>
    </row>
    <row r="52" spans="1:18" x14ac:dyDescent="0.2">
      <c r="B52" s="123">
        <v>47300</v>
      </c>
      <c r="C52" s="119">
        <f t="shared" si="1"/>
        <v>266734.69745356968</v>
      </c>
      <c r="D52" s="119">
        <f t="shared" si="7"/>
        <v>773.53062261535206</v>
      </c>
      <c r="E52" s="119">
        <f t="shared" si="0"/>
        <v>577.46937738464794</v>
      </c>
      <c r="F52" s="119">
        <v>1351</v>
      </c>
      <c r="G52" s="120"/>
      <c r="H52" s="120"/>
      <c r="I52" s="119">
        <f t="shared" si="10"/>
        <v>700</v>
      </c>
      <c r="J52" s="120"/>
      <c r="K52" s="119"/>
      <c r="L52" s="119"/>
      <c r="M52" s="119"/>
      <c r="N52" s="119"/>
      <c r="O52" s="119">
        <f t="shared" si="8"/>
        <v>-73.530622615352058</v>
      </c>
      <c r="P52" s="119"/>
      <c r="Q52" s="120"/>
      <c r="R52" s="120"/>
    </row>
    <row r="53" spans="1:18" x14ac:dyDescent="0.2">
      <c r="B53" s="123">
        <v>47331</v>
      </c>
      <c r="C53" s="119">
        <f t="shared" si="1"/>
        <v>266157.22807618504</v>
      </c>
      <c r="D53" s="119">
        <f t="shared" si="7"/>
        <v>771.85596142093664</v>
      </c>
      <c r="E53" s="119">
        <f t="shared" si="0"/>
        <v>579.14403857906336</v>
      </c>
      <c r="F53" s="119">
        <v>1351</v>
      </c>
      <c r="G53" s="120"/>
      <c r="H53" s="120"/>
      <c r="I53" s="119">
        <f t="shared" si="10"/>
        <v>700</v>
      </c>
      <c r="J53" s="120"/>
      <c r="K53" s="119"/>
      <c r="L53" s="119"/>
      <c r="M53" s="119"/>
      <c r="N53" s="119"/>
      <c r="O53" s="119">
        <f t="shared" si="8"/>
        <v>-71.855961420936637</v>
      </c>
      <c r="P53" s="119"/>
      <c r="Q53" s="120"/>
      <c r="R53" s="120"/>
    </row>
    <row r="54" spans="1:18" x14ac:dyDescent="0.2">
      <c r="B54" s="123">
        <v>47361</v>
      </c>
      <c r="C54" s="119">
        <f t="shared" si="1"/>
        <v>265578.08403760596</v>
      </c>
      <c r="D54" s="119">
        <v>0</v>
      </c>
      <c r="E54" s="119">
        <v>0</v>
      </c>
      <c r="F54" s="119">
        <v>0</v>
      </c>
      <c r="G54" s="119"/>
      <c r="H54" s="119"/>
      <c r="I54" s="119"/>
      <c r="J54" s="120"/>
      <c r="K54" s="119"/>
      <c r="L54" s="119"/>
      <c r="M54" s="119"/>
      <c r="N54" s="119"/>
      <c r="O54" s="119">
        <f>D54-G54</f>
        <v>0</v>
      </c>
      <c r="P54" s="119"/>
      <c r="Q54" s="120"/>
      <c r="R54" s="120"/>
    </row>
    <row r="55" spans="1:18" x14ac:dyDescent="0.2">
      <c r="B55" s="123">
        <v>47362</v>
      </c>
      <c r="C55" s="119">
        <f>C54-G54</f>
        <v>265578.08403760596</v>
      </c>
      <c r="D55" s="119">
        <f t="shared" ref="D55:D66" si="11">(C55*S$2)/12</f>
        <v>770.17644370905725</v>
      </c>
      <c r="E55" s="119">
        <f t="shared" si="0"/>
        <v>580.82355629094275</v>
      </c>
      <c r="F55" s="119">
        <v>1351</v>
      </c>
      <c r="G55" s="120"/>
      <c r="H55" s="120"/>
      <c r="I55" s="119">
        <f t="shared" ref="I55" si="12">I53</f>
        <v>700</v>
      </c>
      <c r="J55" s="120"/>
      <c r="K55" s="119"/>
      <c r="L55" s="119"/>
      <c r="M55" s="119"/>
      <c r="N55" s="119"/>
      <c r="O55" s="119">
        <f t="shared" ref="O55:O66" si="13">I55-D55</f>
        <v>-70.176443709057253</v>
      </c>
      <c r="P55" s="119"/>
      <c r="Q55" s="120"/>
      <c r="R55" s="120"/>
    </row>
    <row r="56" spans="1:18" x14ac:dyDescent="0.2">
      <c r="B56" s="123">
        <v>47392</v>
      </c>
      <c r="C56" s="119">
        <f t="shared" si="1"/>
        <v>264997.26048131502</v>
      </c>
      <c r="D56" s="119">
        <f t="shared" si="11"/>
        <v>768.49205539581351</v>
      </c>
      <c r="E56" s="119">
        <f t="shared" si="0"/>
        <v>582.50794460418649</v>
      </c>
      <c r="F56" s="119">
        <v>1351</v>
      </c>
      <c r="G56" s="120"/>
      <c r="H56" s="120"/>
      <c r="I56" s="119">
        <f>I55</f>
        <v>700</v>
      </c>
      <c r="J56" s="120"/>
      <c r="K56" s="119"/>
      <c r="L56" s="119"/>
      <c r="M56" s="119"/>
      <c r="N56" s="119"/>
      <c r="O56" s="119">
        <f t="shared" si="13"/>
        <v>-68.492055395813509</v>
      </c>
      <c r="P56" s="119"/>
      <c r="Q56" s="120"/>
      <c r="R56" s="120"/>
    </row>
    <row r="57" spans="1:18" x14ac:dyDescent="0.2">
      <c r="B57" s="123">
        <v>47423</v>
      </c>
      <c r="C57" s="119">
        <f t="shared" si="1"/>
        <v>264414.75253671082</v>
      </c>
      <c r="D57" s="119">
        <f t="shared" si="11"/>
        <v>766.80278235646131</v>
      </c>
      <c r="E57" s="119">
        <f t="shared" si="0"/>
        <v>584.19721764353869</v>
      </c>
      <c r="F57" s="119">
        <v>1351</v>
      </c>
      <c r="G57" s="120"/>
      <c r="H57" s="120"/>
      <c r="I57" s="119">
        <f>I55</f>
        <v>700</v>
      </c>
      <c r="J57" s="120"/>
      <c r="K57" s="119"/>
      <c r="L57" s="119"/>
      <c r="M57" s="119"/>
      <c r="N57" s="119"/>
      <c r="O57" s="119">
        <f t="shared" si="13"/>
        <v>-66.802782356461307</v>
      </c>
      <c r="P57" s="119"/>
      <c r="Q57" s="120"/>
      <c r="R57" s="120"/>
    </row>
    <row r="58" spans="1:18" s="3" customFormat="1" x14ac:dyDescent="0.2">
      <c r="A58" s="3">
        <v>4</v>
      </c>
      <c r="B58" s="121">
        <v>47453</v>
      </c>
      <c r="C58" s="118">
        <f t="shared" si="1"/>
        <v>263830.55531906727</v>
      </c>
      <c r="D58" s="118">
        <f t="shared" si="11"/>
        <v>765.10861042529496</v>
      </c>
      <c r="E58" s="118">
        <f t="shared" si="0"/>
        <v>585.89138957470504</v>
      </c>
      <c r="F58" s="118">
        <v>1351</v>
      </c>
      <c r="G58" s="117"/>
      <c r="H58" s="117"/>
      <c r="I58" s="118">
        <v>775</v>
      </c>
      <c r="J58" s="118">
        <f>(I58/$J$2)/0.66</f>
        <v>14.678030303030303</v>
      </c>
      <c r="K58" s="118">
        <f>SUM(E46:E58)+G54</f>
        <v>6919.9521039468018</v>
      </c>
      <c r="L58" s="118">
        <f>SUM(I46:I58)-SUM(D46:D58)</f>
        <v>-817.0478960531982</v>
      </c>
      <c r="M58" s="118">
        <v>230</v>
      </c>
      <c r="N58" s="118">
        <v>2500</v>
      </c>
      <c r="O58" s="118">
        <f t="shared" si="13"/>
        <v>9.8913895747050447</v>
      </c>
      <c r="P58" s="118">
        <f>SUM(O46:O58)+M58+N58</f>
        <v>1912.9521039468027</v>
      </c>
      <c r="Q58" s="118">
        <f>L58+M58+N58</f>
        <v>1912.9521039468018</v>
      </c>
      <c r="R58" s="122">
        <f>Q58/K58</f>
        <v>0.27644007866120168</v>
      </c>
    </row>
    <row r="59" spans="1:18" x14ac:dyDescent="0.2">
      <c r="A59" s="3"/>
      <c r="B59" s="123">
        <v>47484</v>
      </c>
      <c r="C59" s="119">
        <f t="shared" si="1"/>
        <v>263244.66392949258</v>
      </c>
      <c r="D59" s="119">
        <f t="shared" si="11"/>
        <v>763.40952539552848</v>
      </c>
      <c r="E59" s="119">
        <f t="shared" si="0"/>
        <v>587.59047460447152</v>
      </c>
      <c r="F59" s="119">
        <v>1351</v>
      </c>
      <c r="G59" s="120"/>
      <c r="H59" s="120"/>
      <c r="I59" s="119">
        <f t="shared" ref="I59:I66" si="14">I58</f>
        <v>775</v>
      </c>
      <c r="J59" s="120"/>
      <c r="K59" s="119"/>
      <c r="L59" s="119"/>
      <c r="M59" s="119"/>
      <c r="N59" s="119"/>
      <c r="O59" s="119">
        <f t="shared" si="13"/>
        <v>11.590474604471524</v>
      </c>
      <c r="P59" s="119"/>
      <c r="Q59" s="120"/>
      <c r="R59" s="120"/>
    </row>
    <row r="60" spans="1:18" x14ac:dyDescent="0.2">
      <c r="B60" s="123">
        <v>47515</v>
      </c>
      <c r="C60" s="119">
        <f t="shared" si="1"/>
        <v>262657.07345488813</v>
      </c>
      <c r="D60" s="119">
        <f t="shared" si="11"/>
        <v>761.70551301917556</v>
      </c>
      <c r="E60" s="119">
        <f t="shared" si="0"/>
        <v>589.29448698082444</v>
      </c>
      <c r="F60" s="119">
        <v>1351</v>
      </c>
      <c r="G60" s="120"/>
      <c r="H60" s="120"/>
      <c r="I60" s="119">
        <f t="shared" si="14"/>
        <v>775</v>
      </c>
      <c r="J60" s="120"/>
      <c r="K60" s="119"/>
      <c r="L60" s="119"/>
      <c r="M60" s="119"/>
      <c r="N60" s="119"/>
      <c r="O60" s="119">
        <f t="shared" si="13"/>
        <v>13.294486980824445</v>
      </c>
      <c r="P60" s="119"/>
      <c r="Q60" s="120"/>
      <c r="R60" s="120"/>
    </row>
    <row r="61" spans="1:18" x14ac:dyDescent="0.2">
      <c r="B61" s="123">
        <v>47543</v>
      </c>
      <c r="C61" s="119">
        <f t="shared" si="1"/>
        <v>262067.7789679073</v>
      </c>
      <c r="D61" s="119">
        <f t="shared" si="11"/>
        <v>759.99655900693108</v>
      </c>
      <c r="E61" s="119">
        <f t="shared" si="0"/>
        <v>591.00344099306892</v>
      </c>
      <c r="F61" s="119">
        <v>1351</v>
      </c>
      <c r="G61" s="120"/>
      <c r="H61" s="120"/>
      <c r="I61" s="119">
        <f t="shared" si="14"/>
        <v>775</v>
      </c>
      <c r="J61" s="120"/>
      <c r="K61" s="119"/>
      <c r="L61" s="119"/>
      <c r="M61" s="119"/>
      <c r="N61" s="119"/>
      <c r="O61" s="119">
        <f t="shared" si="13"/>
        <v>15.003440993068921</v>
      </c>
      <c r="P61" s="119"/>
      <c r="Q61" s="120"/>
      <c r="R61" s="120"/>
    </row>
    <row r="62" spans="1:18" x14ac:dyDescent="0.2">
      <c r="B62" s="123">
        <v>47574</v>
      </c>
      <c r="C62" s="119">
        <f t="shared" si="1"/>
        <v>261476.77552691422</v>
      </c>
      <c r="D62" s="119">
        <f t="shared" si="11"/>
        <v>758.2826490280512</v>
      </c>
      <c r="E62" s="119">
        <f t="shared" si="0"/>
        <v>592.7173509719488</v>
      </c>
      <c r="F62" s="119">
        <v>1351</v>
      </c>
      <c r="G62" s="120"/>
      <c r="H62" s="120"/>
      <c r="I62" s="119">
        <f t="shared" si="14"/>
        <v>775</v>
      </c>
      <c r="J62" s="120"/>
      <c r="K62" s="119"/>
      <c r="L62" s="119"/>
      <c r="M62" s="119"/>
      <c r="N62" s="119"/>
      <c r="O62" s="119">
        <f t="shared" si="13"/>
        <v>16.717350971948804</v>
      </c>
      <c r="P62" s="119"/>
      <c r="Q62" s="120"/>
      <c r="R62" s="120"/>
    </row>
    <row r="63" spans="1:18" x14ac:dyDescent="0.2">
      <c r="B63" s="123">
        <v>47604</v>
      </c>
      <c r="C63" s="119">
        <f t="shared" si="1"/>
        <v>260884.05817594228</v>
      </c>
      <c r="D63" s="119">
        <f t="shared" si="11"/>
        <v>756.56376871023258</v>
      </c>
      <c r="E63" s="119">
        <f t="shared" si="0"/>
        <v>594.43623128976742</v>
      </c>
      <c r="F63" s="119">
        <v>1351</v>
      </c>
      <c r="G63" s="120"/>
      <c r="H63" s="120"/>
      <c r="I63" s="119">
        <f t="shared" si="14"/>
        <v>775</v>
      </c>
      <c r="J63" s="120"/>
      <c r="K63" s="119"/>
      <c r="L63" s="119"/>
      <c r="M63" s="119"/>
      <c r="N63" s="119"/>
      <c r="O63" s="119">
        <f t="shared" si="13"/>
        <v>18.43623128976742</v>
      </c>
      <c r="P63" s="119"/>
      <c r="Q63" s="120"/>
      <c r="R63" s="120"/>
    </row>
    <row r="64" spans="1:18" x14ac:dyDescent="0.2">
      <c r="B64" s="123">
        <v>47635</v>
      </c>
      <c r="C64" s="119">
        <f t="shared" si="1"/>
        <v>260289.62194465252</v>
      </c>
      <c r="D64" s="119">
        <f t="shared" si="11"/>
        <v>754.83990363949226</v>
      </c>
      <c r="E64" s="119">
        <f t="shared" si="0"/>
        <v>596.16009636050774</v>
      </c>
      <c r="F64" s="119">
        <v>1351</v>
      </c>
      <c r="G64" s="120"/>
      <c r="H64" s="120"/>
      <c r="I64" s="119">
        <f t="shared" si="14"/>
        <v>775</v>
      </c>
      <c r="J64" s="120"/>
      <c r="K64" s="119"/>
      <c r="L64" s="119"/>
      <c r="M64" s="119"/>
      <c r="N64" s="119"/>
      <c r="O64" s="119">
        <f t="shared" si="13"/>
        <v>20.160096360507737</v>
      </c>
      <c r="P64" s="119"/>
      <c r="Q64" s="120"/>
      <c r="R64" s="120"/>
    </row>
    <row r="65" spans="1:18" x14ac:dyDescent="0.2">
      <c r="B65" s="123">
        <v>47665</v>
      </c>
      <c r="C65" s="119">
        <f t="shared" si="1"/>
        <v>259693.46184829201</v>
      </c>
      <c r="D65" s="119">
        <f t="shared" si="11"/>
        <v>753.11103936004668</v>
      </c>
      <c r="E65" s="119">
        <f t="shared" si="0"/>
        <v>597.88896063995332</v>
      </c>
      <c r="F65" s="119">
        <v>1351</v>
      </c>
      <c r="G65" s="120"/>
      <c r="H65" s="120"/>
      <c r="I65" s="119">
        <f t="shared" si="14"/>
        <v>775</v>
      </c>
      <c r="J65" s="120"/>
      <c r="K65" s="119"/>
      <c r="L65" s="119"/>
      <c r="M65" s="119"/>
      <c r="N65" s="119"/>
      <c r="O65" s="119">
        <f t="shared" si="13"/>
        <v>21.888960639953325</v>
      </c>
      <c r="P65" s="119"/>
      <c r="Q65" s="120"/>
      <c r="R65" s="120"/>
    </row>
    <row r="66" spans="1:18" x14ac:dyDescent="0.2">
      <c r="B66" s="123">
        <v>47696</v>
      </c>
      <c r="C66" s="119">
        <f t="shared" si="1"/>
        <v>259095.57288765206</v>
      </c>
      <c r="D66" s="119">
        <f t="shared" si="11"/>
        <v>751.37716137419091</v>
      </c>
      <c r="E66" s="119">
        <f t="shared" si="0"/>
        <v>599.62283862580909</v>
      </c>
      <c r="F66" s="119">
        <v>1351</v>
      </c>
      <c r="G66" s="120"/>
      <c r="H66" s="120"/>
      <c r="I66" s="119">
        <f t="shared" si="14"/>
        <v>775</v>
      </c>
      <c r="J66" s="120"/>
      <c r="K66" s="119"/>
      <c r="L66" s="119"/>
      <c r="M66" s="119"/>
      <c r="N66" s="119"/>
      <c r="O66" s="119">
        <f t="shared" si="13"/>
        <v>23.622838625809095</v>
      </c>
      <c r="P66" s="119"/>
      <c r="Q66" s="120"/>
      <c r="R66" s="120"/>
    </row>
    <row r="67" spans="1:18" x14ac:dyDescent="0.2">
      <c r="B67" s="123">
        <v>47726</v>
      </c>
      <c r="C67" s="119">
        <f t="shared" si="1"/>
        <v>258495.95004902626</v>
      </c>
      <c r="D67" s="119">
        <v>0</v>
      </c>
      <c r="E67" s="119">
        <v>0</v>
      </c>
      <c r="F67" s="119">
        <v>0</v>
      </c>
      <c r="G67" s="119"/>
      <c r="H67" s="119"/>
      <c r="I67" s="119"/>
      <c r="J67" s="120"/>
      <c r="K67" s="119"/>
      <c r="L67" s="119"/>
      <c r="M67" s="119"/>
      <c r="N67" s="119"/>
      <c r="O67" s="119">
        <f>D67-G67</f>
        <v>0</v>
      </c>
      <c r="P67" s="119"/>
      <c r="Q67" s="120"/>
      <c r="R67" s="120"/>
    </row>
    <row r="68" spans="1:18" s="4" customFormat="1" x14ac:dyDescent="0.2">
      <c r="A68"/>
      <c r="B68" s="124">
        <v>47727</v>
      </c>
      <c r="C68" s="125">
        <f>C67-G67</f>
        <v>258495.95004902626</v>
      </c>
      <c r="D68" s="125">
        <f t="shared" ref="D68:D79" si="15">(C68*S$2)/12</f>
        <v>749.63825514217615</v>
      </c>
      <c r="E68" s="125">
        <f t="shared" si="0"/>
        <v>601.36174485782385</v>
      </c>
      <c r="F68" s="125">
        <v>1351</v>
      </c>
      <c r="G68" s="126"/>
      <c r="H68" s="126"/>
      <c r="I68" s="119">
        <f t="shared" ref="I68" si="16">I66</f>
        <v>775</v>
      </c>
      <c r="J68" s="120"/>
      <c r="K68" s="125"/>
      <c r="L68" s="125"/>
      <c r="M68" s="125"/>
      <c r="N68" s="125"/>
      <c r="O68" s="125">
        <f t="shared" ref="O68:O79" si="17">I68-D68</f>
        <v>25.361744857823851</v>
      </c>
      <c r="P68" s="125"/>
      <c r="Q68" s="126"/>
      <c r="R68" s="126"/>
    </row>
    <row r="69" spans="1:18" x14ac:dyDescent="0.2">
      <c r="B69" s="123">
        <v>47757</v>
      </c>
      <c r="C69" s="119">
        <f t="shared" si="1"/>
        <v>257894.58830416843</v>
      </c>
      <c r="D69" s="119">
        <f t="shared" si="15"/>
        <v>747.89430608208841</v>
      </c>
      <c r="E69" s="119">
        <f t="shared" si="0"/>
        <v>603.10569391791159</v>
      </c>
      <c r="F69" s="119">
        <v>1351</v>
      </c>
      <c r="G69" s="120"/>
      <c r="H69" s="120"/>
      <c r="I69" s="119">
        <f>I68</f>
        <v>775</v>
      </c>
      <c r="J69" s="120"/>
      <c r="K69" s="119"/>
      <c r="L69" s="119"/>
      <c r="M69" s="119"/>
      <c r="N69" s="119"/>
      <c r="O69" s="119">
        <f t="shared" si="17"/>
        <v>27.105693917911594</v>
      </c>
      <c r="P69" s="119"/>
      <c r="Q69" s="120"/>
      <c r="R69" s="120"/>
    </row>
    <row r="70" spans="1:18" x14ac:dyDescent="0.2">
      <c r="B70" s="123">
        <v>47788</v>
      </c>
      <c r="C70" s="119">
        <f t="shared" si="1"/>
        <v>257291.4826102505</v>
      </c>
      <c r="D70" s="119">
        <f t="shared" si="15"/>
        <v>746.14529956972638</v>
      </c>
      <c r="E70" s="119">
        <f t="shared" si="0"/>
        <v>604.85470043027362</v>
      </c>
      <c r="F70" s="119">
        <v>1351</v>
      </c>
      <c r="G70" s="120"/>
      <c r="H70" s="120"/>
      <c r="I70" s="119">
        <f>I68</f>
        <v>775</v>
      </c>
      <c r="J70" s="120"/>
      <c r="K70" s="119"/>
      <c r="L70" s="119"/>
      <c r="M70" s="119"/>
      <c r="N70" s="119"/>
      <c r="O70" s="119">
        <f t="shared" si="17"/>
        <v>28.854700430273624</v>
      </c>
      <c r="P70" s="119"/>
      <c r="Q70" s="120"/>
      <c r="R70" s="120"/>
    </row>
    <row r="71" spans="1:18" s="3" customFormat="1" x14ac:dyDescent="0.2">
      <c r="A71">
        <v>5</v>
      </c>
      <c r="B71" s="121">
        <v>47818</v>
      </c>
      <c r="C71" s="118">
        <f t="shared" si="1"/>
        <v>256686.62790982024</v>
      </c>
      <c r="D71" s="118">
        <f t="shared" si="15"/>
        <v>744.39122093847857</v>
      </c>
      <c r="E71" s="118">
        <f t="shared" si="0"/>
        <v>606.60877906152143</v>
      </c>
      <c r="F71" s="118">
        <v>1351</v>
      </c>
      <c r="G71" s="117"/>
      <c r="H71" s="117"/>
      <c r="I71" s="118">
        <v>775</v>
      </c>
      <c r="J71" s="118">
        <f>(I71/$J$2)/0.66</f>
        <v>14.678030303030303</v>
      </c>
      <c r="K71" s="118">
        <f>SUM(E59:E71)+G67</f>
        <v>7164.6447987338806</v>
      </c>
      <c r="L71" s="118">
        <f>SUM(I59:I71)-SUM(D59:D71)</f>
        <v>252.64479873388154</v>
      </c>
      <c r="M71" s="118">
        <v>230</v>
      </c>
      <c r="N71" s="118">
        <v>2500</v>
      </c>
      <c r="O71" s="118">
        <f t="shared" si="17"/>
        <v>30.608779061521432</v>
      </c>
      <c r="P71" s="118">
        <f>SUM(O59:O71)+M71+N71</f>
        <v>2982.6447987338815</v>
      </c>
      <c r="Q71" s="118">
        <f>L71+M71+N71</f>
        <v>2982.6447987338815</v>
      </c>
      <c r="R71" s="122">
        <f>Q71/K71</f>
        <v>0.41630044231375818</v>
      </c>
    </row>
    <row r="72" spans="1:18" x14ac:dyDescent="0.2">
      <c r="A72" s="3"/>
      <c r="B72" s="123">
        <v>47849</v>
      </c>
      <c r="C72" s="119">
        <f t="shared" si="1"/>
        <v>256080.01913075871</v>
      </c>
      <c r="D72" s="119">
        <f t="shared" si="15"/>
        <v>742.63205547920018</v>
      </c>
      <c r="E72" s="119">
        <f t="shared" si="0"/>
        <v>608.36794452079982</v>
      </c>
      <c r="F72" s="119">
        <v>1351</v>
      </c>
      <c r="G72" s="120"/>
      <c r="H72" s="120"/>
      <c r="I72" s="119">
        <f t="shared" ref="I72:I79" si="18">I71</f>
        <v>775</v>
      </c>
      <c r="J72" s="120"/>
      <c r="K72" s="119"/>
      <c r="L72" s="119"/>
      <c r="M72" s="119"/>
      <c r="N72" s="119"/>
      <c r="O72" s="119">
        <f t="shared" si="17"/>
        <v>32.367944520799824</v>
      </c>
      <c r="P72" s="119"/>
      <c r="Q72" s="120"/>
      <c r="R72" s="120"/>
    </row>
    <row r="73" spans="1:18" x14ac:dyDescent="0.2">
      <c r="B73" s="123">
        <v>47880</v>
      </c>
      <c r="C73" s="119">
        <f t="shared" si="1"/>
        <v>255471.6511862379</v>
      </c>
      <c r="D73" s="119">
        <f t="shared" si="15"/>
        <v>740.86778844008984</v>
      </c>
      <c r="E73" s="119">
        <f t="shared" si="0"/>
        <v>610.13221155991016</v>
      </c>
      <c r="F73" s="119">
        <v>1351</v>
      </c>
      <c r="G73" s="120"/>
      <c r="H73" s="120"/>
      <c r="I73" s="119">
        <f t="shared" si="18"/>
        <v>775</v>
      </c>
      <c r="J73" s="120"/>
      <c r="K73" s="119"/>
      <c r="L73" s="119"/>
      <c r="M73" s="119"/>
      <c r="N73" s="119"/>
      <c r="O73" s="119">
        <f t="shared" si="17"/>
        <v>34.132211559910161</v>
      </c>
      <c r="P73" s="119"/>
      <c r="Q73" s="120"/>
      <c r="R73" s="120"/>
    </row>
    <row r="74" spans="1:18" x14ac:dyDescent="0.2">
      <c r="B74" s="123">
        <v>47908</v>
      </c>
      <c r="C74" s="119">
        <f t="shared" si="1"/>
        <v>254861.51897467798</v>
      </c>
      <c r="D74" s="119">
        <f t="shared" si="15"/>
        <v>739.09840502656607</v>
      </c>
      <c r="E74" s="119">
        <f t="shared" si="0"/>
        <v>611.90159497343393</v>
      </c>
      <c r="F74" s="119">
        <v>1351</v>
      </c>
      <c r="G74" s="120"/>
      <c r="H74" s="120"/>
      <c r="I74" s="119">
        <f t="shared" si="18"/>
        <v>775</v>
      </c>
      <c r="J74" s="120"/>
      <c r="K74" s="119"/>
      <c r="L74" s="119"/>
      <c r="M74" s="119"/>
      <c r="N74" s="119"/>
      <c r="O74" s="119">
        <f t="shared" si="17"/>
        <v>35.90159497343393</v>
      </c>
      <c r="P74" s="119"/>
      <c r="Q74" s="120"/>
      <c r="R74" s="120"/>
    </row>
    <row r="75" spans="1:18" x14ac:dyDescent="0.2">
      <c r="B75" s="123">
        <v>47939</v>
      </c>
      <c r="C75" s="119">
        <f t="shared" si="1"/>
        <v>254249.61737970455</v>
      </c>
      <c r="D75" s="119">
        <f t="shared" si="15"/>
        <v>737.3238904011431</v>
      </c>
      <c r="E75" s="119">
        <f t="shared" si="0"/>
        <v>613.6761095988569</v>
      </c>
      <c r="F75" s="119">
        <v>1351</v>
      </c>
      <c r="G75" s="120"/>
      <c r="H75" s="120"/>
      <c r="I75" s="119">
        <f t="shared" si="18"/>
        <v>775</v>
      </c>
      <c r="J75" s="120"/>
      <c r="K75" s="119"/>
      <c r="L75" s="119"/>
      <c r="M75" s="119"/>
      <c r="N75" s="119"/>
      <c r="O75" s="119">
        <f t="shared" si="17"/>
        <v>37.676109598856897</v>
      </c>
      <c r="P75" s="119"/>
      <c r="Q75" s="120"/>
      <c r="R75" s="120"/>
    </row>
    <row r="76" spans="1:18" x14ac:dyDescent="0.2">
      <c r="B76" s="123">
        <v>47969</v>
      </c>
      <c r="C76" s="119">
        <f t="shared" si="1"/>
        <v>253635.94127010569</v>
      </c>
      <c r="D76" s="119">
        <f t="shared" si="15"/>
        <v>735.54422968330653</v>
      </c>
      <c r="E76" s="119">
        <f t="shared" si="0"/>
        <v>615.45577031669347</v>
      </c>
      <c r="F76" s="119">
        <v>1351</v>
      </c>
      <c r="G76" s="120"/>
      <c r="H76" s="120"/>
      <c r="I76" s="119">
        <f t="shared" si="18"/>
        <v>775</v>
      </c>
      <c r="J76" s="120"/>
      <c r="K76" s="119"/>
      <c r="L76" s="119"/>
      <c r="M76" s="119"/>
      <c r="N76" s="119"/>
      <c r="O76" s="119">
        <f t="shared" si="17"/>
        <v>39.455770316693474</v>
      </c>
      <c r="P76" s="119"/>
      <c r="Q76" s="120"/>
      <c r="R76" s="120"/>
    </row>
    <row r="77" spans="1:18" x14ac:dyDescent="0.2">
      <c r="B77" s="123">
        <v>48000</v>
      </c>
      <c r="C77" s="119">
        <f t="shared" ref="C77:C140" si="19">C76-E76</f>
        <v>253020.48549978901</v>
      </c>
      <c r="D77" s="119">
        <f t="shared" si="15"/>
        <v>733.75940794938799</v>
      </c>
      <c r="E77" s="119">
        <f t="shared" si="0"/>
        <v>617.24059205061201</v>
      </c>
      <c r="F77" s="119">
        <v>1351</v>
      </c>
      <c r="G77" s="120"/>
      <c r="H77" s="120"/>
      <c r="I77" s="119">
        <f t="shared" si="18"/>
        <v>775</v>
      </c>
      <c r="J77" s="120"/>
      <c r="K77" s="119"/>
      <c r="L77" s="119"/>
      <c r="M77" s="119"/>
      <c r="N77" s="119"/>
      <c r="O77" s="119">
        <f t="shared" si="17"/>
        <v>41.240592050612008</v>
      </c>
      <c r="P77" s="119"/>
      <c r="Q77" s="120"/>
      <c r="R77" s="120"/>
    </row>
    <row r="78" spans="1:18" x14ac:dyDescent="0.2">
      <c r="B78" s="123">
        <v>48030</v>
      </c>
      <c r="C78" s="119">
        <f t="shared" si="19"/>
        <v>252403.24490773841</v>
      </c>
      <c r="D78" s="119">
        <f t="shared" si="15"/>
        <v>731.96941023244142</v>
      </c>
      <c r="E78" s="119">
        <f t="shared" si="0"/>
        <v>619.03058976755858</v>
      </c>
      <c r="F78" s="119">
        <v>1351</v>
      </c>
      <c r="G78" s="120"/>
      <c r="H78" s="120"/>
      <c r="I78" s="119">
        <f t="shared" si="18"/>
        <v>775</v>
      </c>
      <c r="J78" s="120"/>
      <c r="K78" s="119"/>
      <c r="L78" s="119"/>
      <c r="M78" s="119"/>
      <c r="N78" s="119"/>
      <c r="O78" s="119">
        <f t="shared" si="17"/>
        <v>43.030589767558581</v>
      </c>
      <c r="P78" s="119"/>
      <c r="Q78" s="120"/>
      <c r="R78" s="120"/>
    </row>
    <row r="79" spans="1:18" x14ac:dyDescent="0.2">
      <c r="B79" s="123">
        <v>48061</v>
      </c>
      <c r="C79" s="119">
        <f t="shared" si="19"/>
        <v>251784.21431797085</v>
      </c>
      <c r="D79" s="119">
        <f t="shared" si="15"/>
        <v>730.17422152211532</v>
      </c>
      <c r="E79" s="119">
        <f t="shared" si="0"/>
        <v>620.82577847788468</v>
      </c>
      <c r="F79" s="119">
        <v>1351</v>
      </c>
      <c r="G79" s="120"/>
      <c r="H79" s="120"/>
      <c r="I79" s="119">
        <f t="shared" si="18"/>
        <v>775</v>
      </c>
      <c r="J79" s="120"/>
      <c r="K79" s="119"/>
      <c r="L79" s="119"/>
      <c r="M79" s="119"/>
      <c r="N79" s="119"/>
      <c r="O79" s="119">
        <f t="shared" si="17"/>
        <v>44.825778477884683</v>
      </c>
      <c r="P79" s="119"/>
      <c r="Q79" s="120"/>
      <c r="R79" s="120"/>
    </row>
    <row r="80" spans="1:18" x14ac:dyDescent="0.2">
      <c r="B80" s="123">
        <v>48091</v>
      </c>
      <c r="C80" s="119">
        <f t="shared" si="19"/>
        <v>251163.38853949297</v>
      </c>
      <c r="D80" s="119">
        <v>0</v>
      </c>
      <c r="E80" s="119">
        <v>0</v>
      </c>
      <c r="F80" s="119">
        <v>0</v>
      </c>
      <c r="G80" s="119"/>
      <c r="H80" s="119"/>
      <c r="I80" s="119"/>
      <c r="J80" s="120"/>
      <c r="K80" s="119"/>
      <c r="L80" s="119"/>
      <c r="M80" s="119"/>
      <c r="N80" s="119"/>
      <c r="O80" s="119">
        <f>D80-G80</f>
        <v>0</v>
      </c>
      <c r="P80" s="119"/>
      <c r="Q80" s="120"/>
      <c r="R80" s="120"/>
    </row>
    <row r="81" spans="1:18" x14ac:dyDescent="0.2">
      <c r="B81" s="123">
        <v>48092</v>
      </c>
      <c r="C81" s="119">
        <f>C80-G80</f>
        <v>251163.38853949297</v>
      </c>
      <c r="D81" s="119">
        <f t="shared" ref="D81:D92" si="20">(C81*S$2)/12</f>
        <v>728.37382676452955</v>
      </c>
      <c r="E81" s="119">
        <f t="shared" ref="E81:E149" si="21">F81-D81</f>
        <v>622.62617323547045</v>
      </c>
      <c r="F81" s="119">
        <v>1351</v>
      </c>
      <c r="G81" s="120"/>
      <c r="H81" s="120"/>
      <c r="I81" s="119">
        <f t="shared" ref="I81" si="22">I79</f>
        <v>775</v>
      </c>
      <c r="J81" s="120"/>
      <c r="K81" s="119"/>
      <c r="L81" s="119"/>
      <c r="M81" s="119"/>
      <c r="N81" s="119"/>
      <c r="O81" s="119">
        <f t="shared" ref="O81:O92" si="23">I81-D81</f>
        <v>46.626173235470446</v>
      </c>
      <c r="P81" s="119"/>
      <c r="Q81" s="120"/>
      <c r="R81" s="120"/>
    </row>
    <row r="82" spans="1:18" x14ac:dyDescent="0.2">
      <c r="B82" s="123">
        <v>48122</v>
      </c>
      <c r="C82" s="119">
        <f t="shared" si="19"/>
        <v>250540.76236625749</v>
      </c>
      <c r="D82" s="119">
        <f t="shared" si="20"/>
        <v>726.56821086214666</v>
      </c>
      <c r="E82" s="119">
        <f t="shared" si="21"/>
        <v>624.43178913785334</v>
      </c>
      <c r="F82" s="119">
        <v>1351</v>
      </c>
      <c r="G82" s="120"/>
      <c r="H82" s="120"/>
      <c r="I82" s="119">
        <f>I81</f>
        <v>775</v>
      </c>
      <c r="J82" s="120"/>
      <c r="K82" s="119"/>
      <c r="L82" s="119"/>
      <c r="M82" s="119"/>
      <c r="N82" s="119"/>
      <c r="O82" s="119">
        <f t="shared" si="23"/>
        <v>48.431789137853343</v>
      </c>
      <c r="P82" s="119"/>
      <c r="Q82" s="120"/>
      <c r="R82" s="120"/>
    </row>
    <row r="83" spans="1:18" x14ac:dyDescent="0.2">
      <c r="B83" s="123">
        <v>48153</v>
      </c>
      <c r="C83" s="119">
        <f t="shared" si="19"/>
        <v>249916.33057711963</v>
      </c>
      <c r="D83" s="119">
        <f t="shared" si="20"/>
        <v>724.75735867364699</v>
      </c>
      <c r="E83" s="119">
        <f t="shared" si="21"/>
        <v>626.24264132635301</v>
      </c>
      <c r="F83" s="119">
        <v>1351</v>
      </c>
      <c r="G83" s="120"/>
      <c r="H83" s="120"/>
      <c r="I83" s="119">
        <f>I81</f>
        <v>775</v>
      </c>
      <c r="J83" s="120"/>
      <c r="K83" s="119"/>
      <c r="L83" s="119"/>
      <c r="M83" s="119"/>
      <c r="N83" s="119"/>
      <c r="O83" s="119">
        <f t="shared" si="23"/>
        <v>50.242641326353009</v>
      </c>
      <c r="P83" s="119"/>
      <c r="Q83" s="120"/>
      <c r="R83" s="120"/>
    </row>
    <row r="84" spans="1:18" s="3" customFormat="1" x14ac:dyDescent="0.2">
      <c r="A84" s="3">
        <v>6</v>
      </c>
      <c r="B84" s="121">
        <v>48183</v>
      </c>
      <c r="C84" s="118">
        <f t="shared" si="19"/>
        <v>249290.08793579327</v>
      </c>
      <c r="D84" s="118">
        <f t="shared" si="20"/>
        <v>722.9412550138004</v>
      </c>
      <c r="E84" s="118">
        <f t="shared" si="21"/>
        <v>628.0587449861996</v>
      </c>
      <c r="F84" s="118">
        <v>1351</v>
      </c>
      <c r="G84" s="117"/>
      <c r="H84" s="117"/>
      <c r="I84" s="118">
        <v>775</v>
      </c>
      <c r="J84" s="118">
        <f>(I84/$J$2)/0.66</f>
        <v>14.678030303030303</v>
      </c>
      <c r="K84" s="118">
        <f>SUM(E72:E84)+G80</f>
        <v>7417.9899399516253</v>
      </c>
      <c r="L84" s="118">
        <f>SUM(I72:I84)-SUM(D72:D84)</f>
        <v>505.98993995162527</v>
      </c>
      <c r="M84" s="118">
        <v>230</v>
      </c>
      <c r="N84" s="118">
        <v>2500</v>
      </c>
      <c r="O84" s="118">
        <f t="shared" si="23"/>
        <v>52.058744986199599</v>
      </c>
      <c r="P84" s="118">
        <f>SUM(O72:O84)+M84+N84</f>
        <v>3235.9899399516262</v>
      </c>
      <c r="Q84" s="118">
        <f>L84+M84+N84</f>
        <v>3235.9899399516253</v>
      </c>
      <c r="R84" s="122">
        <f>Q84/K84</f>
        <v>0.43623541770032759</v>
      </c>
    </row>
    <row r="85" spans="1:18" x14ac:dyDescent="0.2">
      <c r="B85" s="123">
        <v>48214</v>
      </c>
      <c r="C85" s="119">
        <f t="shared" si="19"/>
        <v>248662.02919080708</v>
      </c>
      <c r="D85" s="119">
        <f t="shared" si="20"/>
        <v>721.11988465334059</v>
      </c>
      <c r="E85" s="119">
        <f t="shared" si="21"/>
        <v>629.88011534665941</v>
      </c>
      <c r="F85" s="119">
        <v>1351</v>
      </c>
      <c r="G85" s="120"/>
      <c r="H85" s="120"/>
      <c r="I85" s="119">
        <f t="shared" ref="I85:I92" si="24">I84</f>
        <v>775</v>
      </c>
      <c r="J85" s="120"/>
      <c r="K85" s="119"/>
      <c r="L85" s="119"/>
      <c r="M85" s="119"/>
      <c r="N85" s="119"/>
      <c r="O85" s="119">
        <f t="shared" si="23"/>
        <v>53.880115346659409</v>
      </c>
      <c r="P85" s="119"/>
      <c r="Q85" s="120"/>
      <c r="R85" s="120"/>
    </row>
    <row r="86" spans="1:18" x14ac:dyDescent="0.2">
      <c r="B86" s="123">
        <v>48245</v>
      </c>
      <c r="C86" s="119">
        <f t="shared" si="19"/>
        <v>248032.14907546042</v>
      </c>
      <c r="D86" s="119">
        <f t="shared" si="20"/>
        <v>719.29323231883518</v>
      </c>
      <c r="E86" s="119">
        <f t="shared" si="21"/>
        <v>631.70676768116482</v>
      </c>
      <c r="F86" s="119">
        <v>1351</v>
      </c>
      <c r="G86" s="120"/>
      <c r="H86" s="120"/>
      <c r="I86" s="119">
        <f t="shared" si="24"/>
        <v>775</v>
      </c>
      <c r="J86" s="120"/>
      <c r="K86" s="119"/>
      <c r="L86" s="119"/>
      <c r="M86" s="119"/>
      <c r="N86" s="119"/>
      <c r="O86" s="119">
        <f t="shared" si="23"/>
        <v>55.70676768116482</v>
      </c>
      <c r="P86" s="119"/>
      <c r="Q86" s="120"/>
      <c r="R86" s="120"/>
    </row>
    <row r="87" spans="1:18" x14ac:dyDescent="0.2">
      <c r="B87" s="123">
        <v>48274</v>
      </c>
      <c r="C87" s="119">
        <f t="shared" si="19"/>
        <v>247400.44230777925</v>
      </c>
      <c r="D87" s="119">
        <f t="shared" si="20"/>
        <v>717.46128269255985</v>
      </c>
      <c r="E87" s="119">
        <f t="shared" si="21"/>
        <v>633.53871730744015</v>
      </c>
      <c r="F87" s="119">
        <v>1351</v>
      </c>
      <c r="G87" s="120"/>
      <c r="H87" s="120"/>
      <c r="I87" s="119">
        <f t="shared" si="24"/>
        <v>775</v>
      </c>
      <c r="J87" s="120"/>
      <c r="K87" s="119"/>
      <c r="L87" s="119"/>
      <c r="M87" s="119"/>
      <c r="N87" s="119"/>
      <c r="O87" s="119">
        <f t="shared" si="23"/>
        <v>57.538717307440152</v>
      </c>
      <c r="P87" s="119"/>
      <c r="Q87" s="120"/>
      <c r="R87" s="120"/>
    </row>
    <row r="88" spans="1:18" x14ac:dyDescent="0.2">
      <c r="B88" s="123">
        <v>48305</v>
      </c>
      <c r="C88" s="119">
        <f t="shared" si="19"/>
        <v>246766.9035904718</v>
      </c>
      <c r="D88" s="119">
        <f t="shared" si="20"/>
        <v>715.62402041236817</v>
      </c>
      <c r="E88" s="119">
        <f t="shared" si="21"/>
        <v>635.37597958763183</v>
      </c>
      <c r="F88" s="119">
        <v>1351</v>
      </c>
      <c r="G88" s="120"/>
      <c r="H88" s="120"/>
      <c r="I88" s="119">
        <f t="shared" si="24"/>
        <v>775</v>
      </c>
      <c r="J88" s="120"/>
      <c r="K88" s="119"/>
      <c r="L88" s="119"/>
      <c r="M88" s="119"/>
      <c r="N88" s="119"/>
      <c r="O88" s="119">
        <f t="shared" si="23"/>
        <v>59.375979587631832</v>
      </c>
      <c r="P88" s="119"/>
      <c r="Q88" s="120"/>
      <c r="R88" s="120"/>
    </row>
    <row r="89" spans="1:18" x14ac:dyDescent="0.2">
      <c r="B89" s="123">
        <v>48335</v>
      </c>
      <c r="C89" s="119">
        <f t="shared" si="19"/>
        <v>246131.52761088416</v>
      </c>
      <c r="D89" s="119">
        <f t="shared" si="20"/>
        <v>713.78143007156405</v>
      </c>
      <c r="E89" s="119">
        <f t="shared" si="21"/>
        <v>637.21856992843595</v>
      </c>
      <c r="F89" s="119">
        <v>1351</v>
      </c>
      <c r="G89" s="120"/>
      <c r="H89" s="120"/>
      <c r="I89" s="119">
        <f t="shared" si="24"/>
        <v>775</v>
      </c>
      <c r="J89" s="120"/>
      <c r="K89" s="119"/>
      <c r="L89" s="119"/>
      <c r="M89" s="119"/>
      <c r="N89" s="119"/>
      <c r="O89" s="119">
        <f t="shared" si="23"/>
        <v>61.218569928435954</v>
      </c>
      <c r="P89" s="119"/>
      <c r="Q89" s="120"/>
      <c r="R89" s="120"/>
    </row>
    <row r="90" spans="1:18" x14ac:dyDescent="0.2">
      <c r="B90" s="123">
        <v>48366</v>
      </c>
      <c r="C90" s="119">
        <f t="shared" si="19"/>
        <v>245494.30904095573</v>
      </c>
      <c r="D90" s="119">
        <f t="shared" si="20"/>
        <v>711.93349621877167</v>
      </c>
      <c r="E90" s="119">
        <f t="shared" si="21"/>
        <v>639.06650378122833</v>
      </c>
      <c r="F90" s="119">
        <v>1351</v>
      </c>
      <c r="G90" s="120"/>
      <c r="H90" s="120"/>
      <c r="I90" s="119">
        <f t="shared" si="24"/>
        <v>775</v>
      </c>
      <c r="J90" s="120"/>
      <c r="K90" s="119"/>
      <c r="L90" s="119"/>
      <c r="M90" s="119"/>
      <c r="N90" s="119"/>
      <c r="O90" s="119">
        <f t="shared" si="23"/>
        <v>63.066503781228334</v>
      </c>
      <c r="P90" s="119"/>
      <c r="Q90" s="120"/>
      <c r="R90" s="120"/>
    </row>
    <row r="91" spans="1:18" x14ac:dyDescent="0.2">
      <c r="B91" s="123">
        <v>48396</v>
      </c>
      <c r="C91" s="119">
        <f t="shared" si="19"/>
        <v>244855.24253717452</v>
      </c>
      <c r="D91" s="119">
        <f t="shared" si="20"/>
        <v>710.08020335780611</v>
      </c>
      <c r="E91" s="119">
        <f t="shared" si="21"/>
        <v>640.91979664219389</v>
      </c>
      <c r="F91" s="119">
        <v>1351</v>
      </c>
      <c r="G91" s="120"/>
      <c r="H91" s="120"/>
      <c r="I91" s="119">
        <f t="shared" si="24"/>
        <v>775</v>
      </c>
      <c r="J91" s="120"/>
      <c r="K91" s="119"/>
      <c r="L91" s="119"/>
      <c r="M91" s="119"/>
      <c r="N91" s="119"/>
      <c r="O91" s="119">
        <f t="shared" si="23"/>
        <v>64.919796642193887</v>
      </c>
      <c r="P91" s="119"/>
      <c r="Q91" s="120"/>
      <c r="R91" s="120"/>
    </row>
    <row r="92" spans="1:18" x14ac:dyDescent="0.2">
      <c r="B92" s="123">
        <v>48427</v>
      </c>
      <c r="C92" s="119">
        <f t="shared" si="19"/>
        <v>244214.32274053231</v>
      </c>
      <c r="D92" s="119">
        <f t="shared" si="20"/>
        <v>708.22153594754366</v>
      </c>
      <c r="E92" s="119">
        <f t="shared" si="21"/>
        <v>642.77846405245634</v>
      </c>
      <c r="F92" s="119">
        <v>1351</v>
      </c>
      <c r="G92" s="120"/>
      <c r="H92" s="120"/>
      <c r="I92" s="119">
        <f t="shared" si="24"/>
        <v>775</v>
      </c>
      <c r="J92" s="120"/>
      <c r="K92" s="119"/>
      <c r="L92" s="119"/>
      <c r="M92" s="119"/>
      <c r="N92" s="119"/>
      <c r="O92" s="119">
        <f t="shared" si="23"/>
        <v>66.778464052456343</v>
      </c>
      <c r="P92" s="119"/>
      <c r="Q92" s="120"/>
      <c r="R92" s="120"/>
    </row>
    <row r="93" spans="1:18" x14ac:dyDescent="0.2">
      <c r="B93" s="123">
        <v>48457</v>
      </c>
      <c r="C93" s="119">
        <f t="shared" si="19"/>
        <v>243571.54427647986</v>
      </c>
      <c r="D93" s="119">
        <v>0</v>
      </c>
      <c r="E93" s="119">
        <v>0</v>
      </c>
      <c r="F93" s="119">
        <v>0</v>
      </c>
      <c r="G93" s="119"/>
      <c r="H93" s="119"/>
      <c r="I93" s="119"/>
      <c r="J93" s="120"/>
      <c r="K93" s="119"/>
      <c r="L93" s="119"/>
      <c r="M93" s="119"/>
      <c r="N93" s="119"/>
      <c r="O93" s="119">
        <f>D93-G93</f>
        <v>0</v>
      </c>
      <c r="P93" s="119"/>
      <c r="Q93" s="120"/>
      <c r="R93" s="120"/>
    </row>
    <row r="94" spans="1:18" x14ac:dyDescent="0.2">
      <c r="B94" s="123">
        <v>48458</v>
      </c>
      <c r="C94" s="119">
        <f>C93-G93</f>
        <v>243571.54427647986</v>
      </c>
      <c r="D94" s="119">
        <f t="shared" ref="D94:D105" si="25">(C94*S$2)/12</f>
        <v>706.35747840179158</v>
      </c>
      <c r="E94" s="119">
        <f t="shared" si="21"/>
        <v>644.64252159820842</v>
      </c>
      <c r="F94" s="119">
        <v>1351</v>
      </c>
      <c r="G94" s="120"/>
      <c r="H94" s="120"/>
      <c r="I94" s="119">
        <f t="shared" ref="I94" si="26">I92</f>
        <v>775</v>
      </c>
      <c r="J94" s="120"/>
      <c r="K94" s="119"/>
      <c r="L94" s="119"/>
      <c r="M94" s="119"/>
      <c r="N94" s="119"/>
      <c r="O94" s="119">
        <f t="shared" ref="O94:O105" si="27">I94-D94</f>
        <v>68.642521598208418</v>
      </c>
      <c r="P94" s="119"/>
      <c r="Q94" s="120"/>
      <c r="R94" s="120"/>
    </row>
    <row r="95" spans="1:18" x14ac:dyDescent="0.2">
      <c r="B95" s="123">
        <v>48488</v>
      </c>
      <c r="C95" s="119">
        <f t="shared" si="19"/>
        <v>242926.90175488166</v>
      </c>
      <c r="D95" s="119">
        <f t="shared" si="25"/>
        <v>704.48801508915676</v>
      </c>
      <c r="E95" s="119">
        <f t="shared" si="21"/>
        <v>646.51198491084324</v>
      </c>
      <c r="F95" s="119">
        <v>1351</v>
      </c>
      <c r="G95" s="120"/>
      <c r="H95" s="120"/>
      <c r="I95" s="119">
        <f>I94</f>
        <v>775</v>
      </c>
      <c r="J95" s="120"/>
      <c r="K95" s="119"/>
      <c r="L95" s="119"/>
      <c r="M95" s="119"/>
      <c r="N95" s="119"/>
      <c r="O95" s="119">
        <f t="shared" si="27"/>
        <v>70.511984910843239</v>
      </c>
      <c r="P95" s="119"/>
      <c r="Q95" s="120"/>
      <c r="R95" s="120"/>
    </row>
    <row r="96" spans="1:18" x14ac:dyDescent="0.2">
      <c r="B96" s="123">
        <v>48519</v>
      </c>
      <c r="C96" s="119">
        <f t="shared" si="19"/>
        <v>242280.38976997082</v>
      </c>
      <c r="D96" s="119">
        <f t="shared" si="25"/>
        <v>702.61313033291526</v>
      </c>
      <c r="E96" s="119">
        <f t="shared" si="21"/>
        <v>648.38686966708474</v>
      </c>
      <c r="F96" s="119">
        <v>1351</v>
      </c>
      <c r="G96" s="120"/>
      <c r="H96" s="120"/>
      <c r="I96" s="119">
        <f>I94</f>
        <v>775</v>
      </c>
      <c r="J96" s="120"/>
      <c r="K96" s="119"/>
      <c r="L96" s="119"/>
      <c r="M96" s="119"/>
      <c r="N96" s="119"/>
      <c r="O96" s="119">
        <f t="shared" si="27"/>
        <v>72.386869667084738</v>
      </c>
      <c r="P96" s="119"/>
      <c r="Q96" s="120"/>
      <c r="R96" s="120"/>
    </row>
    <row r="97" spans="1:18" s="3" customFormat="1" x14ac:dyDescent="0.2">
      <c r="A97" s="3">
        <v>7</v>
      </c>
      <c r="B97" s="121">
        <v>48549</v>
      </c>
      <c r="C97" s="118">
        <f t="shared" si="19"/>
        <v>241632.00290030372</v>
      </c>
      <c r="D97" s="118">
        <f t="shared" si="25"/>
        <v>700.73280841088081</v>
      </c>
      <c r="E97" s="118">
        <f t="shared" si="21"/>
        <v>650.26719158911919</v>
      </c>
      <c r="F97" s="118">
        <v>1351</v>
      </c>
      <c r="G97" s="117"/>
      <c r="H97" s="117"/>
      <c r="I97" s="118">
        <v>775</v>
      </c>
      <c r="J97" s="118">
        <f>(I97/$J$2)/0.66</f>
        <v>14.678030303030303</v>
      </c>
      <c r="K97" s="118">
        <f>SUM(E85:E97)+G93</f>
        <v>7680.2934820924656</v>
      </c>
      <c r="L97" s="118">
        <f>SUM(I85:I97)-SUM(D85:D97)</f>
        <v>768.29348209246564</v>
      </c>
      <c r="M97" s="118">
        <v>230</v>
      </c>
      <c r="N97" s="118">
        <v>2500</v>
      </c>
      <c r="O97" s="118">
        <f t="shared" si="27"/>
        <v>74.267191589119193</v>
      </c>
      <c r="P97" s="118">
        <f>SUM(O85:O97)+M97+N97</f>
        <v>3498.2934820924665</v>
      </c>
      <c r="Q97" s="118">
        <f>L97+M97+N97</f>
        <v>3498.2934820924656</v>
      </c>
      <c r="R97" s="122">
        <f>Q97/K97</f>
        <v>0.45548955782082556</v>
      </c>
    </row>
    <row r="98" spans="1:18" x14ac:dyDescent="0.2">
      <c r="B98" s="123">
        <v>48580</v>
      </c>
      <c r="C98" s="119">
        <f t="shared" si="19"/>
        <v>240981.73570871461</v>
      </c>
      <c r="D98" s="119">
        <f t="shared" si="25"/>
        <v>698.84703355527233</v>
      </c>
      <c r="E98" s="119">
        <f t="shared" si="21"/>
        <v>652.15296644472767</v>
      </c>
      <c r="F98" s="119">
        <v>1351</v>
      </c>
      <c r="G98" s="120"/>
      <c r="H98" s="120"/>
      <c r="I98" s="119">
        <f t="shared" ref="I98:I105" si="28">I97</f>
        <v>775</v>
      </c>
      <c r="J98" s="120"/>
      <c r="K98" s="119"/>
      <c r="L98" s="119"/>
      <c r="M98" s="119"/>
      <c r="N98" s="119"/>
      <c r="O98" s="119">
        <f t="shared" si="27"/>
        <v>76.152966444727667</v>
      </c>
      <c r="P98" s="119"/>
      <c r="Q98" s="120"/>
      <c r="R98" s="120"/>
    </row>
    <row r="99" spans="1:18" x14ac:dyDescent="0.2">
      <c r="B99" s="123">
        <v>48611</v>
      </c>
      <c r="C99" s="119">
        <f t="shared" si="19"/>
        <v>240329.58274226988</v>
      </c>
      <c r="D99" s="119">
        <f t="shared" si="25"/>
        <v>696.95578995258256</v>
      </c>
      <c r="E99" s="119">
        <f t="shared" si="21"/>
        <v>654.04421004741744</v>
      </c>
      <c r="F99" s="119">
        <v>1351</v>
      </c>
      <c r="G99" s="120"/>
      <c r="H99" s="120"/>
      <c r="I99" s="119">
        <f t="shared" si="28"/>
        <v>775</v>
      </c>
      <c r="J99" s="120"/>
      <c r="K99" s="119"/>
      <c r="L99" s="119"/>
      <c r="M99" s="119"/>
      <c r="N99" s="119"/>
      <c r="O99" s="119">
        <f t="shared" si="27"/>
        <v>78.044210047417437</v>
      </c>
      <c r="P99" s="119"/>
      <c r="Q99" s="120"/>
      <c r="R99" s="120"/>
    </row>
    <row r="100" spans="1:18" x14ac:dyDescent="0.2">
      <c r="B100" s="123">
        <v>48639</v>
      </c>
      <c r="C100" s="119">
        <f t="shared" si="19"/>
        <v>239675.53853222245</v>
      </c>
      <c r="D100" s="119">
        <f t="shared" si="25"/>
        <v>695.059061743445</v>
      </c>
      <c r="E100" s="119">
        <f t="shared" si="21"/>
        <v>655.940938256555</v>
      </c>
      <c r="F100" s="119">
        <v>1351</v>
      </c>
      <c r="G100" s="120"/>
      <c r="H100" s="120"/>
      <c r="I100" s="119">
        <f t="shared" si="28"/>
        <v>775</v>
      </c>
      <c r="J100" s="120"/>
      <c r="K100" s="119"/>
      <c r="L100" s="119"/>
      <c r="M100" s="119"/>
      <c r="N100" s="119"/>
      <c r="O100" s="119">
        <f t="shared" si="27"/>
        <v>79.940938256555</v>
      </c>
      <c r="P100" s="119"/>
      <c r="Q100" s="120"/>
      <c r="R100" s="120"/>
    </row>
    <row r="101" spans="1:18" x14ac:dyDescent="0.2">
      <c r="B101" s="123">
        <v>48670</v>
      </c>
      <c r="C101" s="119">
        <f t="shared" si="19"/>
        <v>239019.59759396588</v>
      </c>
      <c r="D101" s="119">
        <f t="shared" si="25"/>
        <v>693.15683302250102</v>
      </c>
      <c r="E101" s="119">
        <f t="shared" si="21"/>
        <v>657.84316697749898</v>
      </c>
      <c r="F101" s="119">
        <v>1351</v>
      </c>
      <c r="G101" s="120"/>
      <c r="H101" s="120"/>
      <c r="I101" s="119">
        <f t="shared" si="28"/>
        <v>775</v>
      </c>
      <c r="J101" s="120"/>
      <c r="K101" s="119"/>
      <c r="L101" s="119"/>
      <c r="M101" s="119"/>
      <c r="N101" s="119"/>
      <c r="O101" s="119">
        <f t="shared" si="27"/>
        <v>81.843166977498981</v>
      </c>
      <c r="P101" s="119"/>
      <c r="Q101" s="120"/>
      <c r="R101" s="120"/>
    </row>
    <row r="102" spans="1:18" x14ac:dyDescent="0.2">
      <c r="B102" s="123">
        <v>48700</v>
      </c>
      <c r="C102" s="119">
        <f t="shared" si="19"/>
        <v>238361.75442698839</v>
      </c>
      <c r="D102" s="119">
        <f t="shared" si="25"/>
        <v>691.24908783826629</v>
      </c>
      <c r="E102" s="119">
        <f t="shared" si="21"/>
        <v>659.75091216173371</v>
      </c>
      <c r="F102" s="119">
        <v>1351</v>
      </c>
      <c r="G102" s="120"/>
      <c r="H102" s="120"/>
      <c r="I102" s="119">
        <f t="shared" si="28"/>
        <v>775</v>
      </c>
      <c r="J102" s="120"/>
      <c r="K102" s="119"/>
      <c r="L102" s="119"/>
      <c r="M102" s="119"/>
      <c r="N102" s="119"/>
      <c r="O102" s="119">
        <f t="shared" si="27"/>
        <v>83.750912161733709</v>
      </c>
      <c r="P102" s="119"/>
      <c r="Q102" s="120"/>
      <c r="R102" s="120"/>
    </row>
    <row r="103" spans="1:18" x14ac:dyDescent="0.2">
      <c r="B103" s="123">
        <v>48731</v>
      </c>
      <c r="C103" s="119">
        <f t="shared" si="19"/>
        <v>237702.00351482665</v>
      </c>
      <c r="D103" s="119">
        <f t="shared" si="25"/>
        <v>689.3358101929972</v>
      </c>
      <c r="E103" s="119">
        <f t="shared" si="21"/>
        <v>661.6641898070028</v>
      </c>
      <c r="F103" s="119">
        <v>1351</v>
      </c>
      <c r="G103" s="120"/>
      <c r="H103" s="120"/>
      <c r="I103" s="119">
        <f t="shared" si="28"/>
        <v>775</v>
      </c>
      <c r="J103" s="120"/>
      <c r="K103" s="119"/>
      <c r="L103" s="119"/>
      <c r="M103" s="119"/>
      <c r="N103" s="119"/>
      <c r="O103" s="119">
        <f t="shared" si="27"/>
        <v>85.664189807002799</v>
      </c>
      <c r="P103" s="119"/>
      <c r="Q103" s="120"/>
      <c r="R103" s="120"/>
    </row>
    <row r="104" spans="1:18" x14ac:dyDescent="0.2">
      <c r="B104" s="123">
        <v>48761</v>
      </c>
      <c r="C104" s="119">
        <f t="shared" si="19"/>
        <v>237040.33932501965</v>
      </c>
      <c r="D104" s="119">
        <f t="shared" si="25"/>
        <v>687.41698404255692</v>
      </c>
      <c r="E104" s="119">
        <f t="shared" si="21"/>
        <v>663.58301595744308</v>
      </c>
      <c r="F104" s="119">
        <v>1351</v>
      </c>
      <c r="G104" s="120"/>
      <c r="H104" s="120"/>
      <c r="I104" s="119">
        <f t="shared" si="28"/>
        <v>775</v>
      </c>
      <c r="J104" s="120"/>
      <c r="K104" s="119"/>
      <c r="L104" s="119"/>
      <c r="M104" s="119"/>
      <c r="N104" s="119"/>
      <c r="O104" s="119">
        <f t="shared" si="27"/>
        <v>87.583015957443081</v>
      </c>
      <c r="P104" s="119"/>
      <c r="Q104" s="120"/>
      <c r="R104" s="120"/>
    </row>
    <row r="105" spans="1:18" x14ac:dyDescent="0.2">
      <c r="B105" s="123">
        <v>48792</v>
      </c>
      <c r="C105" s="119">
        <f t="shared" si="19"/>
        <v>236376.75630906221</v>
      </c>
      <c r="D105" s="119">
        <f t="shared" si="25"/>
        <v>685.49259329628046</v>
      </c>
      <c r="E105" s="119">
        <f t="shared" si="21"/>
        <v>665.50740670371954</v>
      </c>
      <c r="F105" s="119">
        <v>1351</v>
      </c>
      <c r="G105" s="120"/>
      <c r="H105" s="120"/>
      <c r="I105" s="119">
        <f t="shared" si="28"/>
        <v>775</v>
      </c>
      <c r="J105" s="120"/>
      <c r="K105" s="119"/>
      <c r="L105" s="119"/>
      <c r="M105" s="119"/>
      <c r="N105" s="119"/>
      <c r="O105" s="119">
        <f t="shared" si="27"/>
        <v>89.507406703719539</v>
      </c>
      <c r="P105" s="119"/>
      <c r="Q105" s="120"/>
      <c r="R105" s="120"/>
    </row>
    <row r="106" spans="1:18" x14ac:dyDescent="0.2">
      <c r="B106" s="123">
        <v>48822</v>
      </c>
      <c r="C106" s="119">
        <f t="shared" si="19"/>
        <v>235711.24890235849</v>
      </c>
      <c r="D106" s="119">
        <v>0</v>
      </c>
      <c r="E106" s="119">
        <v>0</v>
      </c>
      <c r="F106" s="119">
        <v>0</v>
      </c>
      <c r="G106" s="119"/>
      <c r="H106" s="119"/>
      <c r="I106" s="119"/>
      <c r="J106" s="120"/>
      <c r="K106" s="119"/>
      <c r="L106" s="119"/>
      <c r="M106" s="119"/>
      <c r="N106" s="119"/>
      <c r="O106" s="119">
        <f>D106-G106</f>
        <v>0</v>
      </c>
      <c r="P106" s="119"/>
      <c r="Q106" s="120"/>
      <c r="R106" s="120"/>
    </row>
    <row r="107" spans="1:18" x14ac:dyDescent="0.2">
      <c r="B107" s="123">
        <v>48823</v>
      </c>
      <c r="C107" s="119">
        <f>C106-G106</f>
        <v>235711.24890235849</v>
      </c>
      <c r="D107" s="119">
        <f t="shared" ref="D107:D118" si="29">(C107*S$2)/12</f>
        <v>683.56262181683951</v>
      </c>
      <c r="E107" s="119">
        <f t="shared" si="21"/>
        <v>667.43737818316049</v>
      </c>
      <c r="F107" s="119">
        <v>1351</v>
      </c>
      <c r="G107" s="120"/>
      <c r="H107" s="120"/>
      <c r="I107" s="119">
        <f t="shared" ref="I107" si="30">I105</f>
        <v>775</v>
      </c>
      <c r="J107" s="120"/>
      <c r="K107" s="119"/>
      <c r="L107" s="119"/>
      <c r="M107" s="119"/>
      <c r="N107" s="119"/>
      <c r="O107" s="119">
        <f t="shared" ref="O107:O118" si="31">I107-D107</f>
        <v>91.43737818316049</v>
      </c>
      <c r="P107" s="119"/>
      <c r="Q107" s="120"/>
      <c r="R107" s="120"/>
    </row>
    <row r="108" spans="1:18" x14ac:dyDescent="0.2">
      <c r="B108" s="123">
        <v>48853</v>
      </c>
      <c r="C108" s="119">
        <f t="shared" si="19"/>
        <v>235043.81152417534</v>
      </c>
      <c r="D108" s="119">
        <f t="shared" si="29"/>
        <v>681.62705342010838</v>
      </c>
      <c r="E108" s="119">
        <f t="shared" si="21"/>
        <v>669.37294657989162</v>
      </c>
      <c r="F108" s="119">
        <v>1351</v>
      </c>
      <c r="G108" s="120"/>
      <c r="H108" s="120"/>
      <c r="I108" s="119">
        <f>I107</f>
        <v>775</v>
      </c>
      <c r="J108" s="120"/>
      <c r="K108" s="119"/>
      <c r="L108" s="119"/>
      <c r="M108" s="119"/>
      <c r="N108" s="119"/>
      <c r="O108" s="119">
        <f t="shared" si="31"/>
        <v>93.372946579891618</v>
      </c>
      <c r="P108" s="119"/>
      <c r="Q108" s="120"/>
      <c r="R108" s="120"/>
    </row>
    <row r="109" spans="1:18" x14ac:dyDescent="0.2">
      <c r="B109" s="123">
        <v>48884</v>
      </c>
      <c r="C109" s="119">
        <f t="shared" si="19"/>
        <v>234374.43857759546</v>
      </c>
      <c r="D109" s="119">
        <f t="shared" si="29"/>
        <v>679.68587187502681</v>
      </c>
      <c r="E109" s="119">
        <f t="shared" si="21"/>
        <v>671.31412812497319</v>
      </c>
      <c r="F109" s="119">
        <v>1351</v>
      </c>
      <c r="G109" s="120"/>
      <c r="H109" s="120"/>
      <c r="I109" s="119">
        <f>I107</f>
        <v>775</v>
      </c>
      <c r="J109" s="120"/>
      <c r="K109" s="119"/>
      <c r="L109" s="119"/>
      <c r="M109" s="119"/>
      <c r="N109" s="119"/>
      <c r="O109" s="119">
        <f t="shared" si="31"/>
        <v>95.314128124973195</v>
      </c>
      <c r="P109" s="119"/>
      <c r="Q109" s="120"/>
      <c r="R109" s="120"/>
    </row>
    <row r="110" spans="1:18" s="3" customFormat="1" x14ac:dyDescent="0.2">
      <c r="A110" s="3">
        <v>8</v>
      </c>
      <c r="B110" s="121">
        <v>48914</v>
      </c>
      <c r="C110" s="118">
        <f t="shared" si="19"/>
        <v>233703.12444947049</v>
      </c>
      <c r="D110" s="118">
        <f t="shared" si="29"/>
        <v>677.73906090346441</v>
      </c>
      <c r="E110" s="118">
        <f t="shared" si="21"/>
        <v>673.26093909653559</v>
      </c>
      <c r="F110" s="118">
        <v>1351</v>
      </c>
      <c r="G110" s="117"/>
      <c r="H110" s="117"/>
      <c r="I110" s="118">
        <v>825</v>
      </c>
      <c r="J110" s="118">
        <f>(I110/$J$2)/0.66</f>
        <v>15.625</v>
      </c>
      <c r="K110" s="118">
        <f>SUM(E98:E110)+G106</f>
        <v>7951.8721983406595</v>
      </c>
      <c r="L110" s="118">
        <f>SUM(I98:I110)-SUM(D98:D110)</f>
        <v>1089.8721983406595</v>
      </c>
      <c r="M110" s="118">
        <v>230</v>
      </c>
      <c r="N110" s="118">
        <v>2500</v>
      </c>
      <c r="O110" s="118">
        <f t="shared" si="31"/>
        <v>147.26093909653559</v>
      </c>
      <c r="P110" s="118">
        <f>SUM(O98:O110)+M110+N110</f>
        <v>3819.872198340659</v>
      </c>
      <c r="Q110" s="118">
        <f>L110+M110+N110</f>
        <v>3819.8721983406595</v>
      </c>
      <c r="R110" s="122">
        <f>Q110/K110</f>
        <v>0.48037394252107868</v>
      </c>
    </row>
    <row r="111" spans="1:18" x14ac:dyDescent="0.2">
      <c r="B111" s="123">
        <v>48945</v>
      </c>
      <c r="C111" s="119">
        <f t="shared" si="19"/>
        <v>233029.86351037395</v>
      </c>
      <c r="D111" s="119">
        <f t="shared" si="29"/>
        <v>675.7866041800844</v>
      </c>
      <c r="E111" s="119">
        <f t="shared" si="21"/>
        <v>675.2133958199156</v>
      </c>
      <c r="F111" s="119">
        <v>1351</v>
      </c>
      <c r="G111" s="120"/>
      <c r="H111" s="120"/>
      <c r="I111" s="119">
        <f t="shared" ref="I111:I118" si="32">I110</f>
        <v>825</v>
      </c>
      <c r="J111" s="120"/>
      <c r="K111" s="119"/>
      <c r="L111" s="119"/>
      <c r="M111" s="119"/>
      <c r="N111" s="119"/>
      <c r="O111" s="119">
        <f t="shared" si="31"/>
        <v>149.2133958199156</v>
      </c>
      <c r="P111" s="119"/>
      <c r="Q111" s="120"/>
      <c r="R111" s="120"/>
    </row>
    <row r="112" spans="1:18" x14ac:dyDescent="0.2">
      <c r="B112" s="123">
        <v>48976</v>
      </c>
      <c r="C112" s="119">
        <f t="shared" si="19"/>
        <v>232354.65011455404</v>
      </c>
      <c r="D112" s="119">
        <f t="shared" si="29"/>
        <v>673.8284853322067</v>
      </c>
      <c r="E112" s="119">
        <f t="shared" si="21"/>
        <v>677.1715146677933</v>
      </c>
      <c r="F112" s="119">
        <v>1351</v>
      </c>
      <c r="G112" s="120"/>
      <c r="H112" s="120"/>
      <c r="I112" s="119">
        <f t="shared" si="32"/>
        <v>825</v>
      </c>
      <c r="J112" s="120"/>
      <c r="K112" s="119"/>
      <c r="L112" s="119"/>
      <c r="M112" s="119"/>
      <c r="N112" s="119"/>
      <c r="O112" s="119">
        <f t="shared" si="31"/>
        <v>151.1715146677933</v>
      </c>
      <c r="P112" s="119"/>
      <c r="Q112" s="120"/>
      <c r="R112" s="120"/>
    </row>
    <row r="113" spans="1:18" x14ac:dyDescent="0.2">
      <c r="B113" s="123">
        <v>49004</v>
      </c>
      <c r="C113" s="119">
        <f t="shared" si="19"/>
        <v>231677.47859988624</v>
      </c>
      <c r="D113" s="119">
        <f t="shared" si="29"/>
        <v>671.86468793967003</v>
      </c>
      <c r="E113" s="119">
        <f t="shared" si="21"/>
        <v>679.13531206032997</v>
      </c>
      <c r="F113" s="119">
        <v>1351</v>
      </c>
      <c r="G113" s="120"/>
      <c r="H113" s="120"/>
      <c r="I113" s="119">
        <f t="shared" si="32"/>
        <v>825</v>
      </c>
      <c r="J113" s="120"/>
      <c r="K113" s="119"/>
      <c r="L113" s="119"/>
      <c r="M113" s="119"/>
      <c r="N113" s="119"/>
      <c r="O113" s="119">
        <f t="shared" si="31"/>
        <v>153.13531206032997</v>
      </c>
      <c r="P113" s="119"/>
      <c r="Q113" s="120"/>
      <c r="R113" s="120"/>
    </row>
    <row r="114" spans="1:18" x14ac:dyDescent="0.2">
      <c r="B114" s="123">
        <v>49035</v>
      </c>
      <c r="C114" s="119">
        <f t="shared" si="19"/>
        <v>230998.3432878259</v>
      </c>
      <c r="D114" s="119">
        <f t="shared" si="29"/>
        <v>669.89519553469506</v>
      </c>
      <c r="E114" s="119">
        <f t="shared" si="21"/>
        <v>681.10480446530494</v>
      </c>
      <c r="F114" s="119">
        <v>1351</v>
      </c>
      <c r="G114" s="120"/>
      <c r="H114" s="120"/>
      <c r="I114" s="119">
        <f t="shared" si="32"/>
        <v>825</v>
      </c>
      <c r="J114" s="120"/>
      <c r="K114" s="119"/>
      <c r="L114" s="119"/>
      <c r="M114" s="119"/>
      <c r="N114" s="119"/>
      <c r="O114" s="119">
        <f t="shared" si="31"/>
        <v>155.10480446530494</v>
      </c>
      <c r="P114" s="119"/>
      <c r="Q114" s="120"/>
      <c r="R114" s="120"/>
    </row>
    <row r="115" spans="1:18" x14ac:dyDescent="0.2">
      <c r="B115" s="123">
        <v>49065</v>
      </c>
      <c r="C115" s="119">
        <f t="shared" si="19"/>
        <v>230317.23848336059</v>
      </c>
      <c r="D115" s="119">
        <f t="shared" si="29"/>
        <v>667.91999160174566</v>
      </c>
      <c r="E115" s="119">
        <f t="shared" si="21"/>
        <v>683.08000839825434</v>
      </c>
      <c r="F115" s="119">
        <v>1351</v>
      </c>
      <c r="G115" s="120"/>
      <c r="H115" s="120"/>
      <c r="I115" s="119">
        <f t="shared" si="32"/>
        <v>825</v>
      </c>
      <c r="J115" s="120"/>
      <c r="K115" s="119"/>
      <c r="L115" s="119"/>
      <c r="M115" s="119"/>
      <c r="N115" s="119"/>
      <c r="O115" s="119">
        <f t="shared" si="31"/>
        <v>157.08000839825434</v>
      </c>
      <c r="P115" s="119"/>
      <c r="Q115" s="120"/>
      <c r="R115" s="120"/>
    </row>
    <row r="116" spans="1:18" x14ac:dyDescent="0.2">
      <c r="B116" s="123">
        <v>49096</v>
      </c>
      <c r="C116" s="119">
        <f t="shared" si="19"/>
        <v>229634.15847496234</v>
      </c>
      <c r="D116" s="119">
        <f t="shared" si="29"/>
        <v>665.93905957739082</v>
      </c>
      <c r="E116" s="119">
        <f t="shared" si="21"/>
        <v>685.06094042260918</v>
      </c>
      <c r="F116" s="119">
        <v>1351</v>
      </c>
      <c r="G116" s="120"/>
      <c r="H116" s="120"/>
      <c r="I116" s="119">
        <f t="shared" si="32"/>
        <v>825</v>
      </c>
      <c r="J116" s="120"/>
      <c r="K116" s="119"/>
      <c r="L116" s="119"/>
      <c r="M116" s="119"/>
      <c r="N116" s="119"/>
      <c r="O116" s="119">
        <f t="shared" si="31"/>
        <v>159.06094042260918</v>
      </c>
      <c r="P116" s="119"/>
      <c r="Q116" s="120"/>
      <c r="R116" s="120"/>
    </row>
    <row r="117" spans="1:18" x14ac:dyDescent="0.2">
      <c r="B117" s="123">
        <v>49126</v>
      </c>
      <c r="C117" s="119">
        <f t="shared" si="19"/>
        <v>228949.09753453973</v>
      </c>
      <c r="D117" s="119">
        <f t="shared" si="29"/>
        <v>663.95238285016524</v>
      </c>
      <c r="E117" s="119">
        <f t="shared" si="21"/>
        <v>687.04761714983476</v>
      </c>
      <c r="F117" s="119">
        <v>1351</v>
      </c>
      <c r="G117" s="120"/>
      <c r="H117" s="120"/>
      <c r="I117" s="119">
        <f t="shared" si="32"/>
        <v>825</v>
      </c>
      <c r="J117" s="120"/>
      <c r="K117" s="119"/>
      <c r="L117" s="119"/>
      <c r="M117" s="119"/>
      <c r="N117" s="119"/>
      <c r="O117" s="119">
        <f t="shared" si="31"/>
        <v>161.04761714983476</v>
      </c>
      <c r="P117" s="119"/>
      <c r="Q117" s="120"/>
      <c r="R117" s="120"/>
    </row>
    <row r="118" spans="1:18" x14ac:dyDescent="0.2">
      <c r="B118" s="123">
        <v>49157</v>
      </c>
      <c r="C118" s="119">
        <f t="shared" si="19"/>
        <v>228262.0499173899</v>
      </c>
      <c r="D118" s="119">
        <f t="shared" si="29"/>
        <v>661.95994476043063</v>
      </c>
      <c r="E118" s="119">
        <f t="shared" si="21"/>
        <v>689.04005523956937</v>
      </c>
      <c r="F118" s="119">
        <v>1351</v>
      </c>
      <c r="G118" s="120"/>
      <c r="H118" s="120"/>
      <c r="I118" s="119">
        <f t="shared" si="32"/>
        <v>825</v>
      </c>
      <c r="J118" s="120"/>
      <c r="K118" s="119"/>
      <c r="L118" s="119"/>
      <c r="M118" s="119"/>
      <c r="N118" s="119"/>
      <c r="O118" s="119">
        <f t="shared" si="31"/>
        <v>163.04005523956937</v>
      </c>
      <c r="P118" s="119"/>
      <c r="Q118" s="120"/>
      <c r="R118" s="120"/>
    </row>
    <row r="119" spans="1:18" x14ac:dyDescent="0.2">
      <c r="B119" s="123">
        <v>49187</v>
      </c>
      <c r="C119" s="119">
        <f>C118-E118</f>
        <v>227573.00986215033</v>
      </c>
      <c r="D119" s="119">
        <v>0</v>
      </c>
      <c r="E119" s="119">
        <v>0</v>
      </c>
      <c r="F119" s="119">
        <v>0</v>
      </c>
      <c r="G119" s="119"/>
      <c r="H119" s="119"/>
      <c r="I119" s="119"/>
      <c r="J119" s="120"/>
      <c r="K119" s="119"/>
      <c r="L119" s="119"/>
      <c r="M119" s="119"/>
      <c r="N119" s="119"/>
      <c r="O119" s="119">
        <f>D119-G119</f>
        <v>0</v>
      </c>
      <c r="P119" s="119"/>
      <c r="Q119" s="120"/>
      <c r="R119" s="120"/>
    </row>
    <row r="120" spans="1:18" x14ac:dyDescent="0.2">
      <c r="B120" s="123">
        <v>49188</v>
      </c>
      <c r="C120" s="119">
        <f>C119-G119</f>
        <v>227573.00986215033</v>
      </c>
      <c r="D120" s="119">
        <f t="shared" ref="D120:D131" si="33">(C120*S$2)/12</f>
        <v>659.96172860023592</v>
      </c>
      <c r="E120" s="119">
        <f t="shared" si="21"/>
        <v>691.03827139976408</v>
      </c>
      <c r="F120" s="119">
        <v>1351</v>
      </c>
      <c r="G120" s="120"/>
      <c r="H120" s="120"/>
      <c r="I120" s="119">
        <f t="shared" ref="I120" si="34">I118</f>
        <v>825</v>
      </c>
      <c r="J120" s="120"/>
      <c r="K120" s="119"/>
      <c r="L120" s="119"/>
      <c r="M120" s="119"/>
      <c r="N120" s="119"/>
      <c r="O120" s="119">
        <f t="shared" ref="O120:O131" si="35">I120-D120</f>
        <v>165.03827139976408</v>
      </c>
      <c r="P120" s="119"/>
      <c r="Q120" s="120"/>
      <c r="R120" s="120"/>
    </row>
    <row r="121" spans="1:18" x14ac:dyDescent="0.2">
      <c r="B121" s="123">
        <v>49218</v>
      </c>
      <c r="C121" s="119">
        <f t="shared" si="19"/>
        <v>226881.97159075056</v>
      </c>
      <c r="D121" s="119">
        <f t="shared" si="33"/>
        <v>657.95771761317656</v>
      </c>
      <c r="E121" s="119">
        <f t="shared" si="21"/>
        <v>693.04228238682344</v>
      </c>
      <c r="F121" s="119">
        <v>1351</v>
      </c>
      <c r="G121" s="120"/>
      <c r="H121" s="120"/>
      <c r="I121" s="119">
        <f>I120</f>
        <v>825</v>
      </c>
      <c r="J121" s="120"/>
      <c r="K121" s="119"/>
      <c r="L121" s="119"/>
      <c r="M121" s="119"/>
      <c r="N121" s="119"/>
      <c r="O121" s="119">
        <f t="shared" si="35"/>
        <v>167.04228238682344</v>
      </c>
      <c r="P121" s="119"/>
      <c r="Q121" s="120"/>
      <c r="R121" s="120"/>
    </row>
    <row r="122" spans="1:18" x14ac:dyDescent="0.2">
      <c r="B122" s="123">
        <v>49249</v>
      </c>
      <c r="C122" s="119">
        <f t="shared" si="19"/>
        <v>226188.92930836373</v>
      </c>
      <c r="D122" s="119">
        <f t="shared" si="33"/>
        <v>655.94789499425474</v>
      </c>
      <c r="E122" s="119">
        <f t="shared" si="21"/>
        <v>695.05210500574526</v>
      </c>
      <c r="F122" s="119">
        <v>1351</v>
      </c>
      <c r="G122" s="120"/>
      <c r="H122" s="120"/>
      <c r="I122" s="119">
        <f>I120</f>
        <v>825</v>
      </c>
      <c r="J122" s="120"/>
      <c r="K122" s="119"/>
      <c r="L122" s="119"/>
      <c r="M122" s="119"/>
      <c r="N122" s="119"/>
      <c r="O122" s="119">
        <f t="shared" si="35"/>
        <v>169.05210500574526</v>
      </c>
      <c r="P122" s="119"/>
      <c r="Q122" s="120"/>
      <c r="R122" s="120"/>
    </row>
    <row r="123" spans="1:18" s="3" customFormat="1" x14ac:dyDescent="0.2">
      <c r="A123" s="3">
        <v>9</v>
      </c>
      <c r="B123" s="121">
        <v>49279</v>
      </c>
      <c r="C123" s="118">
        <f t="shared" si="19"/>
        <v>225493.87720335799</v>
      </c>
      <c r="D123" s="118">
        <f t="shared" si="33"/>
        <v>653.93224388973806</v>
      </c>
      <c r="E123" s="118">
        <f t="shared" si="21"/>
        <v>697.06775611026194</v>
      </c>
      <c r="F123" s="118">
        <v>1351</v>
      </c>
      <c r="G123" s="117"/>
      <c r="H123" s="117"/>
      <c r="I123" s="118">
        <v>825</v>
      </c>
      <c r="J123" s="118">
        <f>(I123/$J$2)/0.66</f>
        <v>15.625</v>
      </c>
      <c r="K123" s="118">
        <f>SUM(E111:E123)+G119</f>
        <v>8233.0540631262065</v>
      </c>
      <c r="L123" s="118">
        <f>SUM(I111:I123)-SUM(D111:D123)</f>
        <v>1921.0540631262065</v>
      </c>
      <c r="M123" s="118"/>
      <c r="N123" s="118">
        <v>2500</v>
      </c>
      <c r="O123" s="118">
        <f t="shared" si="35"/>
        <v>171.06775611026194</v>
      </c>
      <c r="P123" s="118">
        <f>SUM(O111:O123)+M123+N123</f>
        <v>4421.0540631262065</v>
      </c>
      <c r="Q123" s="118">
        <f>L123+M123+N123</f>
        <v>4421.0540631262065</v>
      </c>
      <c r="R123" s="122">
        <f>Q123/K123</f>
        <v>0.53698834347839441</v>
      </c>
    </row>
    <row r="124" spans="1:18" x14ac:dyDescent="0.2">
      <c r="B124" s="123">
        <v>49310</v>
      </c>
      <c r="C124" s="119">
        <f t="shared" si="19"/>
        <v>224796.80944724774</v>
      </c>
      <c r="D124" s="119">
        <f t="shared" si="33"/>
        <v>651.91074739701833</v>
      </c>
      <c r="E124" s="119">
        <f t="shared" si="21"/>
        <v>699.08925260298167</v>
      </c>
      <c r="F124" s="119">
        <v>1351</v>
      </c>
      <c r="G124" s="120"/>
      <c r="H124" s="120"/>
      <c r="I124" s="119">
        <f t="shared" ref="I124:I131" si="36">I123</f>
        <v>825</v>
      </c>
      <c r="J124" s="120"/>
      <c r="K124" s="119"/>
      <c r="L124" s="119"/>
      <c r="M124" s="119"/>
      <c r="N124" s="119"/>
      <c r="O124" s="119">
        <f t="shared" si="35"/>
        <v>173.08925260298167</v>
      </c>
      <c r="P124" s="119"/>
      <c r="Q124" s="120"/>
      <c r="R124" s="120"/>
    </row>
    <row r="125" spans="1:18" x14ac:dyDescent="0.2">
      <c r="B125" s="123">
        <v>49341</v>
      </c>
      <c r="C125" s="119">
        <f t="shared" si="19"/>
        <v>224097.72019464476</v>
      </c>
      <c r="D125" s="119">
        <f t="shared" si="33"/>
        <v>649.88338856446978</v>
      </c>
      <c r="E125" s="119">
        <f t="shared" si="21"/>
        <v>701.11661143553022</v>
      </c>
      <c r="F125" s="119">
        <v>1351</v>
      </c>
      <c r="G125" s="120"/>
      <c r="H125" s="120"/>
      <c r="I125" s="119">
        <f t="shared" si="36"/>
        <v>825</v>
      </c>
      <c r="J125" s="120"/>
      <c r="K125" s="119"/>
      <c r="L125" s="119"/>
      <c r="M125" s="119"/>
      <c r="N125" s="119"/>
      <c r="O125" s="119">
        <f t="shared" si="35"/>
        <v>175.11661143553022</v>
      </c>
      <c r="P125" s="119"/>
      <c r="Q125" s="120"/>
      <c r="R125" s="120"/>
    </row>
    <row r="126" spans="1:18" x14ac:dyDescent="0.2">
      <c r="B126" s="123">
        <v>49369</v>
      </c>
      <c r="C126" s="119">
        <f t="shared" si="19"/>
        <v>223396.60358320922</v>
      </c>
      <c r="D126" s="119">
        <f t="shared" si="33"/>
        <v>647.85015039130667</v>
      </c>
      <c r="E126" s="119">
        <f t="shared" si="21"/>
        <v>703.14984960869333</v>
      </c>
      <c r="F126" s="119">
        <v>1351</v>
      </c>
      <c r="G126" s="120"/>
      <c r="H126" s="120"/>
      <c r="I126" s="119">
        <f t="shared" si="36"/>
        <v>825</v>
      </c>
      <c r="J126" s="120"/>
      <c r="K126" s="119"/>
      <c r="L126" s="119"/>
      <c r="M126" s="119"/>
      <c r="N126" s="119"/>
      <c r="O126" s="119">
        <f t="shared" si="35"/>
        <v>177.14984960869333</v>
      </c>
      <c r="P126" s="119"/>
      <c r="Q126" s="120"/>
      <c r="R126" s="120"/>
    </row>
    <row r="127" spans="1:18" x14ac:dyDescent="0.2">
      <c r="B127" s="123">
        <v>49400</v>
      </c>
      <c r="C127" s="119">
        <f t="shared" si="19"/>
        <v>222693.45373360053</v>
      </c>
      <c r="D127" s="119">
        <f t="shared" si="33"/>
        <v>645.81101582744157</v>
      </c>
      <c r="E127" s="119">
        <f t="shared" si="21"/>
        <v>705.18898417255843</v>
      </c>
      <c r="F127" s="119">
        <v>1351</v>
      </c>
      <c r="G127" s="120"/>
      <c r="H127" s="120"/>
      <c r="I127" s="119">
        <f t="shared" si="36"/>
        <v>825</v>
      </c>
      <c r="J127" s="120"/>
      <c r="K127" s="119"/>
      <c r="L127" s="119"/>
      <c r="M127" s="119"/>
      <c r="N127" s="119"/>
      <c r="O127" s="119">
        <f t="shared" si="35"/>
        <v>179.18898417255843</v>
      </c>
      <c r="P127" s="119"/>
      <c r="Q127" s="120"/>
      <c r="R127" s="120"/>
    </row>
    <row r="128" spans="1:18" x14ac:dyDescent="0.2">
      <c r="B128" s="123">
        <v>49430</v>
      </c>
      <c r="C128" s="119">
        <f t="shared" si="19"/>
        <v>221988.26474942797</v>
      </c>
      <c r="D128" s="119">
        <f t="shared" si="33"/>
        <v>643.765967773341</v>
      </c>
      <c r="E128" s="119">
        <f t="shared" si="21"/>
        <v>707.234032226659</v>
      </c>
      <c r="F128" s="119">
        <v>1351</v>
      </c>
      <c r="G128" s="120"/>
      <c r="H128" s="120"/>
      <c r="I128" s="119">
        <f t="shared" si="36"/>
        <v>825</v>
      </c>
      <c r="J128" s="120"/>
      <c r="K128" s="119"/>
      <c r="L128" s="119"/>
      <c r="M128" s="119"/>
      <c r="N128" s="119"/>
      <c r="O128" s="119">
        <f t="shared" si="35"/>
        <v>181.234032226659</v>
      </c>
      <c r="P128" s="119"/>
      <c r="Q128" s="120"/>
      <c r="R128" s="120"/>
    </row>
    <row r="129" spans="1:18" x14ac:dyDescent="0.2">
      <c r="B129" s="123">
        <v>49461</v>
      </c>
      <c r="C129" s="119">
        <f t="shared" si="19"/>
        <v>221281.0307172013</v>
      </c>
      <c r="D129" s="119">
        <f t="shared" si="33"/>
        <v>641.71498907988371</v>
      </c>
      <c r="E129" s="119">
        <f t="shared" si="21"/>
        <v>709.28501092011629</v>
      </c>
      <c r="F129" s="119">
        <v>1351</v>
      </c>
      <c r="G129" s="120"/>
      <c r="H129" s="120"/>
      <c r="I129" s="119">
        <f t="shared" si="36"/>
        <v>825</v>
      </c>
      <c r="J129" s="120"/>
      <c r="K129" s="119"/>
      <c r="L129" s="119"/>
      <c r="M129" s="119"/>
      <c r="N129" s="119"/>
      <c r="O129" s="119">
        <f t="shared" si="35"/>
        <v>183.28501092011629</v>
      </c>
      <c r="P129" s="119"/>
      <c r="Q129" s="120"/>
      <c r="R129" s="120"/>
    </row>
    <row r="130" spans="1:18" x14ac:dyDescent="0.2">
      <c r="B130" s="123">
        <v>49491</v>
      </c>
      <c r="C130" s="119">
        <f t="shared" si="19"/>
        <v>220571.74570628119</v>
      </c>
      <c r="D130" s="119">
        <f t="shared" si="33"/>
        <v>639.65806254821541</v>
      </c>
      <c r="E130" s="119">
        <f t="shared" si="21"/>
        <v>711.34193745178459</v>
      </c>
      <c r="F130" s="119">
        <v>1351</v>
      </c>
      <c r="G130" s="120"/>
      <c r="H130" s="120"/>
      <c r="I130" s="119">
        <f t="shared" si="36"/>
        <v>825</v>
      </c>
      <c r="J130" s="120"/>
      <c r="K130" s="119"/>
      <c r="L130" s="119"/>
      <c r="M130" s="119"/>
      <c r="N130" s="119"/>
      <c r="O130" s="119">
        <f t="shared" si="35"/>
        <v>185.34193745178459</v>
      </c>
      <c r="P130" s="119"/>
      <c r="Q130" s="120"/>
      <c r="R130" s="120"/>
    </row>
    <row r="131" spans="1:18" x14ac:dyDescent="0.2">
      <c r="B131" s="123">
        <v>49522</v>
      </c>
      <c r="C131" s="119">
        <f t="shared" si="19"/>
        <v>219860.40376882939</v>
      </c>
      <c r="D131" s="119">
        <f t="shared" si="33"/>
        <v>637.59517092960516</v>
      </c>
      <c r="E131" s="119">
        <f t="shared" si="21"/>
        <v>713.40482907039484</v>
      </c>
      <c r="F131" s="119">
        <v>1351</v>
      </c>
      <c r="G131" s="120"/>
      <c r="H131" s="120"/>
      <c r="I131" s="119">
        <f t="shared" si="36"/>
        <v>825</v>
      </c>
      <c r="J131" s="120"/>
      <c r="K131" s="119"/>
      <c r="L131" s="119"/>
      <c r="M131" s="119"/>
      <c r="N131" s="119"/>
      <c r="O131" s="119">
        <f t="shared" si="35"/>
        <v>187.40482907039484</v>
      </c>
      <c r="P131" s="119"/>
      <c r="Q131" s="120"/>
      <c r="R131" s="120"/>
    </row>
    <row r="132" spans="1:18" x14ac:dyDescent="0.2">
      <c r="B132" s="123">
        <v>49552</v>
      </c>
      <c r="C132" s="119">
        <f>C131-E131</f>
        <v>219146.99893975898</v>
      </c>
      <c r="D132" s="119">
        <v>0</v>
      </c>
      <c r="E132" s="119">
        <v>0</v>
      </c>
      <c r="F132" s="119">
        <v>0</v>
      </c>
      <c r="G132" s="119"/>
      <c r="H132" s="119"/>
      <c r="I132" s="119"/>
      <c r="J132" s="120"/>
      <c r="K132" s="119"/>
      <c r="L132" s="119"/>
      <c r="M132" s="119"/>
      <c r="N132" s="119"/>
      <c r="O132" s="119">
        <f>D132-G132</f>
        <v>0</v>
      </c>
      <c r="P132" s="119"/>
      <c r="Q132" s="120"/>
      <c r="R132" s="120"/>
    </row>
    <row r="133" spans="1:18" x14ac:dyDescent="0.2">
      <c r="B133" s="123">
        <v>49553</v>
      </c>
      <c r="C133" s="119">
        <f>C132-G132</f>
        <v>219146.99893975898</v>
      </c>
      <c r="D133" s="119">
        <f t="shared" ref="D133:D144" si="37">(C133*S$2)/12</f>
        <v>635.52629692530104</v>
      </c>
      <c r="E133" s="119">
        <f t="shared" si="21"/>
        <v>715.47370307469896</v>
      </c>
      <c r="F133" s="119">
        <v>1351</v>
      </c>
      <c r="G133" s="120"/>
      <c r="H133" s="120"/>
      <c r="I133" s="119">
        <f t="shared" ref="I133" si="38">I131</f>
        <v>825</v>
      </c>
      <c r="J133" s="120"/>
      <c r="K133" s="119"/>
      <c r="L133" s="119"/>
      <c r="M133" s="119"/>
      <c r="N133" s="119"/>
      <c r="O133" s="119">
        <f t="shared" ref="O133:O144" si="39">I133-D133</f>
        <v>189.47370307469896</v>
      </c>
      <c r="P133" s="119"/>
      <c r="Q133" s="120"/>
      <c r="R133" s="120"/>
    </row>
    <row r="134" spans="1:18" x14ac:dyDescent="0.2">
      <c r="B134" s="123">
        <v>49583</v>
      </c>
      <c r="C134" s="119">
        <f t="shared" si="19"/>
        <v>218431.52523668428</v>
      </c>
      <c r="D134" s="119">
        <f t="shared" si="37"/>
        <v>633.45142318638443</v>
      </c>
      <c r="E134" s="119">
        <f t="shared" si="21"/>
        <v>717.54857681361557</v>
      </c>
      <c r="F134" s="119">
        <v>1351</v>
      </c>
      <c r="G134" s="120"/>
      <c r="H134" s="120"/>
      <c r="I134" s="119">
        <f>I133</f>
        <v>825</v>
      </c>
      <c r="J134" s="120"/>
      <c r="K134" s="119"/>
      <c r="L134" s="119"/>
      <c r="M134" s="119"/>
      <c r="N134" s="119"/>
      <c r="O134" s="119">
        <f t="shared" si="39"/>
        <v>191.54857681361557</v>
      </c>
      <c r="P134" s="119"/>
      <c r="Q134" s="120"/>
      <c r="R134" s="120"/>
    </row>
    <row r="135" spans="1:18" x14ac:dyDescent="0.2">
      <c r="B135" s="123">
        <v>49614</v>
      </c>
      <c r="C135" s="119">
        <f t="shared" si="19"/>
        <v>217713.97665987065</v>
      </c>
      <c r="D135" s="119">
        <f t="shared" si="37"/>
        <v>631.37053231362484</v>
      </c>
      <c r="E135" s="119">
        <f t="shared" si="21"/>
        <v>719.62946768637516</v>
      </c>
      <c r="F135" s="119">
        <v>1351</v>
      </c>
      <c r="G135" s="120"/>
      <c r="H135" s="120"/>
      <c r="I135" s="119">
        <f>I133</f>
        <v>825</v>
      </c>
      <c r="J135" s="120"/>
      <c r="K135" s="119"/>
      <c r="L135" s="119"/>
      <c r="M135" s="119"/>
      <c r="N135" s="119"/>
      <c r="O135" s="119">
        <f t="shared" si="39"/>
        <v>193.62946768637516</v>
      </c>
      <c r="P135" s="119"/>
      <c r="Q135" s="120"/>
      <c r="R135" s="120"/>
    </row>
    <row r="136" spans="1:18" s="3" customFormat="1" x14ac:dyDescent="0.2">
      <c r="A136" s="3">
        <v>10</v>
      </c>
      <c r="B136" s="121">
        <v>49644</v>
      </c>
      <c r="C136" s="118">
        <f t="shared" si="19"/>
        <v>216994.34719218427</v>
      </c>
      <c r="D136" s="118">
        <f t="shared" si="37"/>
        <v>629.28360685733435</v>
      </c>
      <c r="E136" s="118">
        <f t="shared" si="21"/>
        <v>721.71639314266565</v>
      </c>
      <c r="F136" s="118">
        <v>1351</v>
      </c>
      <c r="G136" s="117"/>
      <c r="H136" s="117"/>
      <c r="I136" s="118">
        <v>825</v>
      </c>
      <c r="J136" s="118">
        <f>(I136/$J$2)/0.66</f>
        <v>15.625</v>
      </c>
      <c r="K136" s="118">
        <f>SUM(E124:E136)+G132</f>
        <v>8524.1786482060743</v>
      </c>
      <c r="L136" s="118">
        <f>SUM(I124:I136)-SUM(D124:D136)</f>
        <v>2212.1786482060752</v>
      </c>
      <c r="M136" s="118"/>
      <c r="N136" s="118">
        <v>2500</v>
      </c>
      <c r="O136" s="118">
        <f t="shared" si="39"/>
        <v>195.71639314266565</v>
      </c>
      <c r="P136" s="118">
        <f>SUM(O124:O136)+M136+N136</f>
        <v>4712.1786482060743</v>
      </c>
      <c r="Q136" s="118">
        <f>L136+M136+N136</f>
        <v>4712.1786482060752</v>
      </c>
      <c r="R136" s="122">
        <f>Q136/K136</f>
        <v>0.55280148887984182</v>
      </c>
    </row>
    <row r="137" spans="1:18" x14ac:dyDescent="0.2">
      <c r="B137" s="123">
        <v>49675</v>
      </c>
      <c r="C137" s="119">
        <f t="shared" si="19"/>
        <v>216272.6307990416</v>
      </c>
      <c r="D137" s="119">
        <f t="shared" si="37"/>
        <v>627.19062931722056</v>
      </c>
      <c r="E137" s="119">
        <f t="shared" si="21"/>
        <v>723.80937068277944</v>
      </c>
      <c r="F137" s="119">
        <v>1351</v>
      </c>
      <c r="G137" s="120"/>
      <c r="H137" s="120"/>
      <c r="I137" s="119">
        <f t="shared" ref="I137:I144" si="40">I136</f>
        <v>825</v>
      </c>
      <c r="J137" s="120"/>
      <c r="K137" s="119"/>
      <c r="L137" s="119"/>
      <c r="M137" s="119"/>
      <c r="N137" s="119"/>
      <c r="O137" s="119">
        <f t="shared" si="39"/>
        <v>197.80937068277944</v>
      </c>
      <c r="P137" s="119"/>
      <c r="Q137" s="120"/>
      <c r="R137" s="120"/>
    </row>
    <row r="138" spans="1:18" x14ac:dyDescent="0.2">
      <c r="B138" s="123">
        <v>49706</v>
      </c>
      <c r="C138" s="119">
        <f t="shared" si="19"/>
        <v>215548.82142835882</v>
      </c>
      <c r="D138" s="119">
        <f t="shared" si="37"/>
        <v>625.09158214224055</v>
      </c>
      <c r="E138" s="119">
        <f t="shared" si="21"/>
        <v>725.90841785775945</v>
      </c>
      <c r="F138" s="119">
        <v>1351</v>
      </c>
      <c r="G138" s="120"/>
      <c r="H138" s="120"/>
      <c r="I138" s="119">
        <f t="shared" si="40"/>
        <v>825</v>
      </c>
      <c r="J138" s="120"/>
      <c r="K138" s="119"/>
      <c r="L138" s="119"/>
      <c r="M138" s="119"/>
      <c r="N138" s="119"/>
      <c r="O138" s="119">
        <f t="shared" si="39"/>
        <v>199.90841785775945</v>
      </c>
      <c r="P138" s="119"/>
      <c r="Q138" s="120"/>
      <c r="R138" s="120"/>
    </row>
    <row r="139" spans="1:18" x14ac:dyDescent="0.2">
      <c r="B139" s="123">
        <v>49735</v>
      </c>
      <c r="C139" s="119">
        <f t="shared" si="19"/>
        <v>214822.91301050107</v>
      </c>
      <c r="D139" s="119">
        <f t="shared" si="37"/>
        <v>622.98644773045305</v>
      </c>
      <c r="E139" s="119">
        <f t="shared" si="21"/>
        <v>728.01355226954695</v>
      </c>
      <c r="F139" s="119">
        <v>1351</v>
      </c>
      <c r="G139" s="120"/>
      <c r="H139" s="120"/>
      <c r="I139" s="119">
        <f t="shared" si="40"/>
        <v>825</v>
      </c>
      <c r="J139" s="120"/>
      <c r="K139" s="119"/>
      <c r="L139" s="119"/>
      <c r="M139" s="119"/>
      <c r="N139" s="119"/>
      <c r="O139" s="119">
        <f t="shared" si="39"/>
        <v>202.01355226954695</v>
      </c>
      <c r="P139" s="119"/>
      <c r="Q139" s="120"/>
      <c r="R139" s="120"/>
    </row>
    <row r="140" spans="1:18" x14ac:dyDescent="0.2">
      <c r="B140" s="123">
        <v>49766</v>
      </c>
      <c r="C140" s="119">
        <f t="shared" si="19"/>
        <v>214094.89945823152</v>
      </c>
      <c r="D140" s="119">
        <f t="shared" si="37"/>
        <v>620.87520842887136</v>
      </c>
      <c r="E140" s="119">
        <f t="shared" si="21"/>
        <v>730.12479157112864</v>
      </c>
      <c r="F140" s="119">
        <v>1351</v>
      </c>
      <c r="G140" s="120"/>
      <c r="H140" s="120"/>
      <c r="I140" s="119">
        <f t="shared" si="40"/>
        <v>825</v>
      </c>
      <c r="J140" s="120"/>
      <c r="K140" s="119"/>
      <c r="L140" s="119"/>
      <c r="M140" s="119"/>
      <c r="N140" s="119"/>
      <c r="O140" s="119">
        <f t="shared" si="39"/>
        <v>204.12479157112864</v>
      </c>
      <c r="P140" s="119"/>
      <c r="Q140" s="120"/>
      <c r="R140" s="120"/>
    </row>
    <row r="141" spans="1:18" x14ac:dyDescent="0.2">
      <c r="B141" s="123">
        <v>49796</v>
      </c>
      <c r="C141" s="119">
        <f t="shared" ref="C141:C157" si="41">C140-E140</f>
        <v>213364.77466666038</v>
      </c>
      <c r="D141" s="119">
        <f t="shared" si="37"/>
        <v>618.75784653331505</v>
      </c>
      <c r="E141" s="119">
        <f t="shared" si="21"/>
        <v>732.24215346668495</v>
      </c>
      <c r="F141" s="119">
        <v>1351</v>
      </c>
      <c r="G141" s="120"/>
      <c r="H141" s="120"/>
      <c r="I141" s="119">
        <f t="shared" si="40"/>
        <v>825</v>
      </c>
      <c r="J141" s="120"/>
      <c r="K141" s="119"/>
      <c r="L141" s="119"/>
      <c r="M141" s="119"/>
      <c r="N141" s="119"/>
      <c r="O141" s="119">
        <f t="shared" si="39"/>
        <v>206.24215346668495</v>
      </c>
      <c r="P141" s="119"/>
      <c r="Q141" s="120"/>
      <c r="R141" s="120"/>
    </row>
    <row r="142" spans="1:18" x14ac:dyDescent="0.2">
      <c r="B142" s="123">
        <v>49827</v>
      </c>
      <c r="C142" s="119">
        <f t="shared" si="41"/>
        <v>212632.5325131937</v>
      </c>
      <c r="D142" s="119">
        <f t="shared" si="37"/>
        <v>616.63434428826167</v>
      </c>
      <c r="E142" s="119">
        <f t="shared" si="21"/>
        <v>734.36565571173833</v>
      </c>
      <c r="F142" s="119">
        <v>1351</v>
      </c>
      <c r="G142" s="120"/>
      <c r="H142" s="120"/>
      <c r="I142" s="119">
        <f t="shared" si="40"/>
        <v>825</v>
      </c>
      <c r="J142" s="120"/>
      <c r="K142" s="119"/>
      <c r="L142" s="119"/>
      <c r="M142" s="119"/>
      <c r="N142" s="119"/>
      <c r="O142" s="119">
        <f t="shared" si="39"/>
        <v>208.36565571173833</v>
      </c>
      <c r="P142" s="119"/>
      <c r="Q142" s="120"/>
      <c r="R142" s="120"/>
    </row>
    <row r="143" spans="1:18" x14ac:dyDescent="0.2">
      <c r="B143" s="123">
        <v>49857</v>
      </c>
      <c r="C143" s="119">
        <f t="shared" si="41"/>
        <v>211898.16685748196</v>
      </c>
      <c r="D143" s="119">
        <f t="shared" si="37"/>
        <v>614.50468388669765</v>
      </c>
      <c r="E143" s="119">
        <f t="shared" si="21"/>
        <v>736.49531611330235</v>
      </c>
      <c r="F143" s="119">
        <v>1351</v>
      </c>
      <c r="G143" s="120"/>
      <c r="H143" s="120"/>
      <c r="I143" s="119">
        <f t="shared" si="40"/>
        <v>825</v>
      </c>
      <c r="J143" s="120"/>
      <c r="K143" s="119"/>
      <c r="L143" s="119"/>
      <c r="M143" s="119"/>
      <c r="N143" s="119"/>
      <c r="O143" s="119">
        <f t="shared" si="39"/>
        <v>210.49531611330235</v>
      </c>
      <c r="P143" s="119"/>
      <c r="Q143" s="120"/>
      <c r="R143" s="120"/>
    </row>
    <row r="144" spans="1:18" x14ac:dyDescent="0.2">
      <c r="B144" s="123">
        <v>49888</v>
      </c>
      <c r="C144" s="119">
        <f t="shared" si="41"/>
        <v>211161.67154136865</v>
      </c>
      <c r="D144" s="119">
        <f t="shared" si="37"/>
        <v>612.36884746996907</v>
      </c>
      <c r="E144" s="119">
        <f t="shared" si="21"/>
        <v>738.63115253003093</v>
      </c>
      <c r="F144" s="119">
        <v>1351</v>
      </c>
      <c r="G144" s="120"/>
      <c r="H144" s="120"/>
      <c r="I144" s="119">
        <f t="shared" si="40"/>
        <v>825</v>
      </c>
      <c r="J144" s="120"/>
      <c r="K144" s="119"/>
      <c r="L144" s="119"/>
      <c r="M144" s="119"/>
      <c r="N144" s="119"/>
      <c r="O144" s="119">
        <f t="shared" si="39"/>
        <v>212.63115253003093</v>
      </c>
      <c r="P144" s="119"/>
      <c r="Q144" s="120"/>
      <c r="R144" s="120"/>
    </row>
    <row r="145" spans="1:18" x14ac:dyDescent="0.2">
      <c r="B145" s="123">
        <v>49918</v>
      </c>
      <c r="C145" s="119">
        <f>C144-E144</f>
        <v>210423.04038883862</v>
      </c>
      <c r="D145" s="119">
        <v>0</v>
      </c>
      <c r="E145" s="119">
        <v>0</v>
      </c>
      <c r="F145" s="119">
        <v>0</v>
      </c>
      <c r="G145" s="119"/>
      <c r="H145" s="119"/>
      <c r="I145" s="119"/>
      <c r="J145" s="120"/>
      <c r="K145" s="119"/>
      <c r="L145" s="119"/>
      <c r="M145" s="119"/>
      <c r="N145" s="119"/>
      <c r="O145" s="119">
        <f>D145-G145</f>
        <v>0</v>
      </c>
      <c r="P145" s="119"/>
      <c r="Q145" s="120"/>
      <c r="R145" s="120"/>
    </row>
    <row r="146" spans="1:18" x14ac:dyDescent="0.2">
      <c r="B146" s="123">
        <v>49919</v>
      </c>
      <c r="C146" s="119">
        <f>C145-G145</f>
        <v>210423.04038883862</v>
      </c>
      <c r="D146" s="119">
        <f t="shared" ref="D146:D157" si="42">(C146*S$2)/12</f>
        <v>610.22681712763199</v>
      </c>
      <c r="E146" s="119">
        <f t="shared" si="21"/>
        <v>740.77318287236801</v>
      </c>
      <c r="F146" s="119">
        <v>1351</v>
      </c>
      <c r="G146" s="120"/>
      <c r="H146" s="120"/>
      <c r="I146" s="119">
        <f t="shared" ref="I146" si="43">I144</f>
        <v>825</v>
      </c>
      <c r="J146" s="120"/>
      <c r="K146" s="119"/>
      <c r="L146" s="119"/>
      <c r="M146" s="119"/>
      <c r="N146" s="119"/>
      <c r="O146" s="119">
        <f t="shared" ref="O146:O157" si="44">I146-D146</f>
        <v>214.77318287236801</v>
      </c>
      <c r="P146" s="119"/>
      <c r="Q146" s="120"/>
      <c r="R146" s="120"/>
    </row>
    <row r="147" spans="1:18" x14ac:dyDescent="0.2">
      <c r="B147" s="123">
        <v>49949</v>
      </c>
      <c r="C147" s="119">
        <f t="shared" si="41"/>
        <v>209682.26720596626</v>
      </c>
      <c r="D147" s="119">
        <f t="shared" si="42"/>
        <v>608.07857489730213</v>
      </c>
      <c r="E147" s="119">
        <f t="shared" si="21"/>
        <v>742.92142510269787</v>
      </c>
      <c r="F147" s="119">
        <v>1351</v>
      </c>
      <c r="G147" s="120"/>
      <c r="H147" s="120"/>
      <c r="I147" s="119">
        <f>I146</f>
        <v>825</v>
      </c>
      <c r="J147" s="120"/>
      <c r="K147" s="119"/>
      <c r="L147" s="119"/>
      <c r="M147" s="119"/>
      <c r="N147" s="119"/>
      <c r="O147" s="119">
        <f t="shared" si="44"/>
        <v>216.92142510269787</v>
      </c>
      <c r="P147" s="119"/>
      <c r="Q147" s="120"/>
      <c r="R147" s="120"/>
    </row>
    <row r="148" spans="1:18" x14ac:dyDescent="0.2">
      <c r="B148" s="123">
        <v>49980</v>
      </c>
      <c r="C148" s="119">
        <f t="shared" si="41"/>
        <v>208939.34578086357</v>
      </c>
      <c r="D148" s="119">
        <f t="shared" si="42"/>
        <v>605.92410276450425</v>
      </c>
      <c r="E148" s="119">
        <f t="shared" si="21"/>
        <v>745.07589723549575</v>
      </c>
      <c r="F148" s="119">
        <v>1351</v>
      </c>
      <c r="G148" s="120"/>
      <c r="H148" s="120"/>
      <c r="I148" s="119">
        <f>I146</f>
        <v>825</v>
      </c>
      <c r="J148" s="120"/>
      <c r="K148" s="119"/>
      <c r="L148" s="119"/>
      <c r="M148" s="119"/>
      <c r="N148" s="119"/>
      <c r="O148" s="119">
        <f t="shared" si="44"/>
        <v>219.07589723549575</v>
      </c>
      <c r="P148" s="119"/>
      <c r="Q148" s="120"/>
      <c r="R148" s="120"/>
    </row>
    <row r="149" spans="1:18" s="3" customFormat="1" x14ac:dyDescent="0.2">
      <c r="A149" s="3">
        <v>11</v>
      </c>
      <c r="B149" s="121">
        <v>50010</v>
      </c>
      <c r="C149" s="118">
        <f t="shared" si="41"/>
        <v>208194.26988362809</v>
      </c>
      <c r="D149" s="118">
        <f t="shared" si="42"/>
        <v>603.76338266252139</v>
      </c>
      <c r="E149" s="118">
        <f t="shared" si="21"/>
        <v>747.23661733747861</v>
      </c>
      <c r="F149" s="118">
        <v>1351</v>
      </c>
      <c r="G149" s="117"/>
      <c r="H149" s="117"/>
      <c r="I149" s="118">
        <v>825</v>
      </c>
      <c r="J149" s="118">
        <f>(I149/$J$2)/0.66</f>
        <v>15.625</v>
      </c>
      <c r="K149" s="118">
        <f>SUM(E137:E149)+G145</f>
        <v>8825.5975327510114</v>
      </c>
      <c r="L149" s="118">
        <f>SUM(I137:I149)-SUM(D137:D149)</f>
        <v>2513.5975327510114</v>
      </c>
      <c r="M149" s="118"/>
      <c r="N149" s="118">
        <v>2500</v>
      </c>
      <c r="O149" s="118">
        <f t="shared" si="44"/>
        <v>221.23661733747861</v>
      </c>
      <c r="P149" s="118">
        <f>SUM(O137:O149)+M149+N149</f>
        <v>5013.5975327510114</v>
      </c>
      <c r="Q149" s="118">
        <f>L149+M149+N149</f>
        <v>5013.5975327510114</v>
      </c>
      <c r="R149" s="122">
        <f>Q149/K149</f>
        <v>0.56807457105833281</v>
      </c>
    </row>
    <row r="150" spans="1:18" x14ac:dyDescent="0.2">
      <c r="B150" s="123">
        <v>50041</v>
      </c>
      <c r="C150" s="119">
        <f t="shared" si="41"/>
        <v>207447.03326629061</v>
      </c>
      <c r="D150" s="119">
        <f t="shared" si="42"/>
        <v>601.59639647224276</v>
      </c>
      <c r="E150" s="119">
        <f t="shared" ref="E150:E213" si="45">F150-D150</f>
        <v>749.40360352775724</v>
      </c>
      <c r="F150" s="119">
        <v>1351</v>
      </c>
      <c r="G150" s="120"/>
      <c r="H150" s="120"/>
      <c r="I150" s="119">
        <f t="shared" ref="I150:I157" si="46">I149</f>
        <v>825</v>
      </c>
      <c r="J150" s="120"/>
      <c r="K150" s="119"/>
      <c r="L150" s="119"/>
      <c r="M150" s="119"/>
      <c r="N150" s="119"/>
      <c r="O150" s="119">
        <f t="shared" si="44"/>
        <v>223.40360352775724</v>
      </c>
      <c r="P150" s="119"/>
      <c r="Q150" s="120"/>
      <c r="R150" s="120"/>
    </row>
    <row r="151" spans="1:18" x14ac:dyDescent="0.2">
      <c r="B151" s="123">
        <v>50072</v>
      </c>
      <c r="C151" s="119">
        <f t="shared" si="41"/>
        <v>206697.62966276286</v>
      </c>
      <c r="D151" s="119">
        <f t="shared" si="42"/>
        <v>599.4231260220123</v>
      </c>
      <c r="E151" s="119">
        <f t="shared" si="45"/>
        <v>751.5768739779877</v>
      </c>
      <c r="F151" s="119">
        <v>1351</v>
      </c>
      <c r="G151" s="120"/>
      <c r="H151" s="120"/>
      <c r="I151" s="119">
        <f t="shared" si="46"/>
        <v>825</v>
      </c>
      <c r="J151" s="120"/>
      <c r="K151" s="119"/>
      <c r="L151" s="119"/>
      <c r="M151" s="119"/>
      <c r="N151" s="119"/>
      <c r="O151" s="119">
        <f t="shared" si="44"/>
        <v>225.5768739779877</v>
      </c>
      <c r="P151" s="119"/>
      <c r="Q151" s="120"/>
      <c r="R151" s="120"/>
    </row>
    <row r="152" spans="1:18" x14ac:dyDescent="0.2">
      <c r="B152" s="123">
        <v>50100</v>
      </c>
      <c r="C152" s="119">
        <f t="shared" si="41"/>
        <v>205946.05278878487</v>
      </c>
      <c r="D152" s="119">
        <f t="shared" si="42"/>
        <v>597.24355308747602</v>
      </c>
      <c r="E152" s="119">
        <f t="shared" si="45"/>
        <v>753.75644691252398</v>
      </c>
      <c r="F152" s="119">
        <v>1351</v>
      </c>
      <c r="G152" s="120"/>
      <c r="H152" s="120"/>
      <c r="I152" s="119">
        <f t="shared" si="46"/>
        <v>825</v>
      </c>
      <c r="J152" s="120"/>
      <c r="K152" s="119"/>
      <c r="L152" s="119"/>
      <c r="M152" s="119"/>
      <c r="N152" s="119"/>
      <c r="O152" s="119">
        <f t="shared" si="44"/>
        <v>227.75644691252398</v>
      </c>
      <c r="P152" s="119"/>
      <c r="Q152" s="120"/>
      <c r="R152" s="120"/>
    </row>
    <row r="153" spans="1:18" x14ac:dyDescent="0.2">
      <c r="B153" s="123">
        <v>50131</v>
      </c>
      <c r="C153" s="119">
        <f t="shared" si="41"/>
        <v>205192.29634187234</v>
      </c>
      <c r="D153" s="119">
        <f t="shared" si="42"/>
        <v>595.05765939142975</v>
      </c>
      <c r="E153" s="119">
        <f t="shared" si="45"/>
        <v>755.94234060857025</v>
      </c>
      <c r="F153" s="119">
        <v>1351</v>
      </c>
      <c r="G153" s="120"/>
      <c r="H153" s="120"/>
      <c r="I153" s="119">
        <f t="shared" si="46"/>
        <v>825</v>
      </c>
      <c r="J153" s="120"/>
      <c r="K153" s="119"/>
      <c r="L153" s="119"/>
      <c r="M153" s="119"/>
      <c r="N153" s="119"/>
      <c r="O153" s="119">
        <f t="shared" si="44"/>
        <v>229.94234060857025</v>
      </c>
      <c r="P153" s="119"/>
      <c r="Q153" s="120"/>
      <c r="R153" s="120"/>
    </row>
    <row r="154" spans="1:18" x14ac:dyDescent="0.2">
      <c r="B154" s="123">
        <v>50161</v>
      </c>
      <c r="C154" s="119">
        <f t="shared" si="41"/>
        <v>204436.35400126377</v>
      </c>
      <c r="D154" s="119">
        <f t="shared" si="42"/>
        <v>592.8654266036649</v>
      </c>
      <c r="E154" s="119">
        <f t="shared" si="45"/>
        <v>758.1345733963351</v>
      </c>
      <c r="F154" s="119">
        <v>1351</v>
      </c>
      <c r="G154" s="120"/>
      <c r="H154" s="120"/>
      <c r="I154" s="119">
        <f t="shared" si="46"/>
        <v>825</v>
      </c>
      <c r="J154" s="120"/>
      <c r="K154" s="119"/>
      <c r="L154" s="119"/>
      <c r="M154" s="119"/>
      <c r="N154" s="119"/>
      <c r="O154" s="119">
        <f t="shared" si="44"/>
        <v>232.1345733963351</v>
      </c>
      <c r="P154" s="119"/>
      <c r="Q154" s="120"/>
      <c r="R154" s="120"/>
    </row>
    <row r="155" spans="1:18" x14ac:dyDescent="0.2">
      <c r="B155" s="123">
        <v>50192</v>
      </c>
      <c r="C155" s="119">
        <f t="shared" si="41"/>
        <v>203678.21942786744</v>
      </c>
      <c r="D155" s="119">
        <f t="shared" si="42"/>
        <v>590.66683634081551</v>
      </c>
      <c r="E155" s="119">
        <f t="shared" si="45"/>
        <v>760.33316365918449</v>
      </c>
      <c r="F155" s="119">
        <v>1351</v>
      </c>
      <c r="G155" s="120"/>
      <c r="H155" s="120"/>
      <c r="I155" s="119">
        <f t="shared" si="46"/>
        <v>825</v>
      </c>
      <c r="J155" s="120"/>
      <c r="K155" s="119"/>
      <c r="L155" s="119"/>
      <c r="M155" s="119"/>
      <c r="N155" s="119"/>
      <c r="O155" s="119">
        <f t="shared" si="44"/>
        <v>234.33316365918449</v>
      </c>
      <c r="P155" s="119"/>
      <c r="Q155" s="120"/>
      <c r="R155" s="120"/>
    </row>
    <row r="156" spans="1:18" x14ac:dyDescent="0.2">
      <c r="B156" s="123">
        <v>50222</v>
      </c>
      <c r="C156" s="119">
        <f t="shared" si="41"/>
        <v>202917.88626420827</v>
      </c>
      <c r="D156" s="119">
        <f t="shared" si="42"/>
        <v>588.46187016620399</v>
      </c>
      <c r="E156" s="119">
        <f t="shared" si="45"/>
        <v>762.53812983379601</v>
      </c>
      <c r="F156" s="119">
        <v>1351</v>
      </c>
      <c r="G156" s="120"/>
      <c r="H156" s="120"/>
      <c r="I156" s="119">
        <f t="shared" si="46"/>
        <v>825</v>
      </c>
      <c r="J156" s="120"/>
      <c r="K156" s="119"/>
      <c r="L156" s="119"/>
      <c r="M156" s="119"/>
      <c r="N156" s="119"/>
      <c r="O156" s="119">
        <f t="shared" si="44"/>
        <v>236.53812983379601</v>
      </c>
      <c r="P156" s="119"/>
      <c r="Q156" s="120"/>
      <c r="R156" s="120"/>
    </row>
    <row r="157" spans="1:18" x14ac:dyDescent="0.2">
      <c r="B157" s="123">
        <v>50253</v>
      </c>
      <c r="C157" s="119">
        <f t="shared" si="41"/>
        <v>202155.34813437448</v>
      </c>
      <c r="D157" s="119">
        <f t="shared" si="42"/>
        <v>586.25050958968598</v>
      </c>
      <c r="E157" s="119">
        <f t="shared" si="45"/>
        <v>764.74949041031402</v>
      </c>
      <c r="F157" s="119">
        <v>1351</v>
      </c>
      <c r="G157" s="120"/>
      <c r="H157" s="120"/>
      <c r="I157" s="119">
        <f t="shared" si="46"/>
        <v>825</v>
      </c>
      <c r="J157" s="120"/>
      <c r="K157" s="119"/>
      <c r="L157" s="119"/>
      <c r="M157" s="119"/>
      <c r="N157" s="119"/>
      <c r="O157" s="119">
        <f t="shared" si="44"/>
        <v>238.74949041031402</v>
      </c>
      <c r="P157" s="119"/>
      <c r="Q157" s="120"/>
      <c r="R157" s="120"/>
    </row>
    <row r="158" spans="1:18" x14ac:dyDescent="0.2">
      <c r="B158" s="123">
        <v>50283</v>
      </c>
      <c r="C158" s="119">
        <f>C157-E157</f>
        <v>201390.59864396416</v>
      </c>
      <c r="D158" s="119">
        <v>0</v>
      </c>
      <c r="E158" s="119">
        <v>0</v>
      </c>
      <c r="F158" s="119">
        <v>0</v>
      </c>
      <c r="G158" s="119"/>
      <c r="H158" s="119"/>
      <c r="I158" s="119"/>
      <c r="J158" s="120"/>
      <c r="K158" s="119"/>
      <c r="L158" s="119"/>
      <c r="M158" s="119"/>
      <c r="N158" s="119"/>
      <c r="O158" s="119">
        <f>D158-G158</f>
        <v>0</v>
      </c>
      <c r="P158" s="119"/>
      <c r="Q158" s="120"/>
      <c r="R158" s="120"/>
    </row>
    <row r="159" spans="1:18" x14ac:dyDescent="0.2">
      <c r="B159" s="123">
        <v>50284</v>
      </c>
      <c r="C159" s="119">
        <f>C158-G158</f>
        <v>201390.59864396416</v>
      </c>
      <c r="D159" s="119">
        <f t="shared" ref="D159:D170" si="47">(C159*S$2)/12</f>
        <v>584.03273606749599</v>
      </c>
      <c r="E159" s="119">
        <f t="shared" si="45"/>
        <v>766.96726393250401</v>
      </c>
      <c r="F159" s="119">
        <v>1351</v>
      </c>
      <c r="G159" s="120"/>
      <c r="H159" s="120"/>
      <c r="I159" s="119">
        <f t="shared" ref="I159" si="48">I157</f>
        <v>825</v>
      </c>
      <c r="J159" s="120"/>
      <c r="K159" s="119"/>
      <c r="L159" s="119"/>
      <c r="M159" s="119"/>
      <c r="N159" s="119"/>
      <c r="O159" s="119">
        <f t="shared" ref="O159:O170" si="49">I159-D159</f>
        <v>240.96726393250401</v>
      </c>
      <c r="P159" s="119"/>
      <c r="Q159" s="120"/>
      <c r="R159" s="120"/>
    </row>
    <row r="160" spans="1:18" x14ac:dyDescent="0.2">
      <c r="B160" s="123">
        <v>50314</v>
      </c>
      <c r="C160" s="119">
        <f t="shared" ref="C160:C223" si="50">C159-E159</f>
        <v>200623.63138003164</v>
      </c>
      <c r="D160" s="119">
        <f t="shared" si="47"/>
        <v>581.80853100209174</v>
      </c>
      <c r="E160" s="119">
        <f t="shared" si="45"/>
        <v>769.19146899790826</v>
      </c>
      <c r="F160" s="119">
        <v>1351</v>
      </c>
      <c r="G160" s="120"/>
      <c r="H160" s="120"/>
      <c r="I160" s="119">
        <f>I159</f>
        <v>825</v>
      </c>
      <c r="J160" s="120"/>
      <c r="K160" s="119"/>
      <c r="L160" s="119"/>
      <c r="M160" s="119"/>
      <c r="N160" s="119"/>
      <c r="O160" s="119">
        <f t="shared" si="49"/>
        <v>243.19146899790826</v>
      </c>
      <c r="P160" s="119"/>
      <c r="Q160" s="120"/>
      <c r="R160" s="120"/>
    </row>
    <row r="161" spans="1:18" x14ac:dyDescent="0.2">
      <c r="B161" s="123">
        <v>50345</v>
      </c>
      <c r="C161" s="119">
        <f t="shared" si="50"/>
        <v>199854.43991103373</v>
      </c>
      <c r="D161" s="119">
        <f t="shared" si="47"/>
        <v>579.57787574199779</v>
      </c>
      <c r="E161" s="119">
        <f t="shared" si="45"/>
        <v>771.42212425800221</v>
      </c>
      <c r="F161" s="119">
        <v>1351</v>
      </c>
      <c r="G161" s="120"/>
      <c r="H161" s="120"/>
      <c r="I161" s="119">
        <f>I159</f>
        <v>825</v>
      </c>
      <c r="J161" s="120"/>
      <c r="K161" s="119"/>
      <c r="L161" s="119"/>
      <c r="M161" s="119"/>
      <c r="N161" s="119"/>
      <c r="O161" s="119">
        <f t="shared" si="49"/>
        <v>245.42212425800221</v>
      </c>
      <c r="P161" s="119"/>
      <c r="Q161" s="120"/>
      <c r="R161" s="120"/>
    </row>
    <row r="162" spans="1:18" s="3" customFormat="1" x14ac:dyDescent="0.2">
      <c r="A162" s="3">
        <v>12</v>
      </c>
      <c r="B162" s="121">
        <v>50375</v>
      </c>
      <c r="C162" s="118">
        <f t="shared" si="50"/>
        <v>199083.01778677572</v>
      </c>
      <c r="D162" s="118">
        <f t="shared" si="47"/>
        <v>577.34075158164956</v>
      </c>
      <c r="E162" s="118">
        <f t="shared" si="45"/>
        <v>773.65924841835044</v>
      </c>
      <c r="F162" s="118">
        <v>1351</v>
      </c>
      <c r="G162" s="117"/>
      <c r="H162" s="117"/>
      <c r="I162" s="118">
        <v>875</v>
      </c>
      <c r="J162" s="118">
        <f>(I162/$J$2)/0.66</f>
        <v>16.571969696969695</v>
      </c>
      <c r="K162" s="118">
        <f>SUM(E150:E162)+G158</f>
        <v>9137.674727933234</v>
      </c>
      <c r="L162" s="118">
        <f>SUM(I150:I162)-SUM(D150:D162)</f>
        <v>2875.674727933234</v>
      </c>
      <c r="M162" s="118"/>
      <c r="N162" s="118">
        <v>2500</v>
      </c>
      <c r="O162" s="118">
        <f t="shared" si="49"/>
        <v>297.65924841835044</v>
      </c>
      <c r="P162" s="118">
        <f>SUM(O150:O162)+M162+N162</f>
        <v>5375.674727933234</v>
      </c>
      <c r="Q162" s="118">
        <f>L162+M162+N162</f>
        <v>5375.674727933234</v>
      </c>
      <c r="R162" s="122">
        <f>Q162/K162</f>
        <v>0.58829788627736679</v>
      </c>
    </row>
    <row r="163" spans="1:18" x14ac:dyDescent="0.2">
      <c r="B163" s="123">
        <v>50406</v>
      </c>
      <c r="C163" s="119">
        <f t="shared" si="50"/>
        <v>198309.35853835737</v>
      </c>
      <c r="D163" s="119">
        <f t="shared" si="47"/>
        <v>575.09713976123635</v>
      </c>
      <c r="E163" s="119">
        <f t="shared" si="45"/>
        <v>775.90286023876365</v>
      </c>
      <c r="F163" s="119">
        <v>1351</v>
      </c>
      <c r="G163" s="120"/>
      <c r="H163" s="120"/>
      <c r="I163" s="119">
        <f t="shared" ref="I163:I170" si="51">I162</f>
        <v>875</v>
      </c>
      <c r="J163" s="120"/>
      <c r="K163" s="119"/>
      <c r="L163" s="119"/>
      <c r="M163" s="119"/>
      <c r="N163" s="119"/>
      <c r="O163" s="119">
        <f t="shared" si="49"/>
        <v>299.90286023876365</v>
      </c>
      <c r="P163" s="119"/>
      <c r="Q163" s="120"/>
      <c r="R163" s="120"/>
    </row>
    <row r="164" spans="1:18" x14ac:dyDescent="0.2">
      <c r="B164" s="123">
        <v>50437</v>
      </c>
      <c r="C164" s="119">
        <f t="shared" si="50"/>
        <v>197533.4556781186</v>
      </c>
      <c r="D164" s="119">
        <f t="shared" si="47"/>
        <v>572.84702146654388</v>
      </c>
      <c r="E164" s="119">
        <f t="shared" si="45"/>
        <v>778.15297853345612</v>
      </c>
      <c r="F164" s="119">
        <v>1351</v>
      </c>
      <c r="G164" s="120"/>
      <c r="H164" s="120"/>
      <c r="I164" s="119">
        <f t="shared" si="51"/>
        <v>875</v>
      </c>
      <c r="J164" s="120"/>
      <c r="K164" s="119"/>
      <c r="L164" s="119"/>
      <c r="M164" s="119"/>
      <c r="N164" s="119"/>
      <c r="O164" s="119">
        <f t="shared" si="49"/>
        <v>302.15297853345612</v>
      </c>
      <c r="P164" s="119"/>
      <c r="Q164" s="120"/>
      <c r="R164" s="120"/>
    </row>
    <row r="165" spans="1:18" x14ac:dyDescent="0.2">
      <c r="B165" s="123">
        <v>50465</v>
      </c>
      <c r="C165" s="119">
        <f t="shared" si="50"/>
        <v>196755.30269958515</v>
      </c>
      <c r="D165" s="119">
        <f t="shared" si="47"/>
        <v>570.59037782879693</v>
      </c>
      <c r="E165" s="119">
        <f t="shared" si="45"/>
        <v>780.40962217120307</v>
      </c>
      <c r="F165" s="119">
        <v>1351</v>
      </c>
      <c r="G165" s="120"/>
      <c r="H165" s="120"/>
      <c r="I165" s="119">
        <f t="shared" si="51"/>
        <v>875</v>
      </c>
      <c r="J165" s="120"/>
      <c r="K165" s="119"/>
      <c r="L165" s="119"/>
      <c r="M165" s="119"/>
      <c r="N165" s="119"/>
      <c r="O165" s="119">
        <f t="shared" si="49"/>
        <v>304.40962217120307</v>
      </c>
      <c r="P165" s="119"/>
      <c r="Q165" s="120"/>
      <c r="R165" s="120"/>
    </row>
    <row r="166" spans="1:18" x14ac:dyDescent="0.2">
      <c r="B166" s="123">
        <v>50496</v>
      </c>
      <c r="C166" s="119">
        <f t="shared" si="50"/>
        <v>195974.89307741396</v>
      </c>
      <c r="D166" s="119">
        <f t="shared" si="47"/>
        <v>568.32718992450043</v>
      </c>
      <c r="E166" s="119">
        <f t="shared" si="45"/>
        <v>782.67281007549957</v>
      </c>
      <c r="F166" s="119">
        <v>1351</v>
      </c>
      <c r="G166" s="120"/>
      <c r="H166" s="120"/>
      <c r="I166" s="119">
        <f t="shared" si="51"/>
        <v>875</v>
      </c>
      <c r="J166" s="120"/>
      <c r="K166" s="119"/>
      <c r="L166" s="119"/>
      <c r="M166" s="119"/>
      <c r="N166" s="119"/>
      <c r="O166" s="119">
        <f t="shared" si="49"/>
        <v>306.67281007549957</v>
      </c>
      <c r="P166" s="119"/>
      <c r="Q166" s="120"/>
      <c r="R166" s="120"/>
    </row>
    <row r="167" spans="1:18" x14ac:dyDescent="0.2">
      <c r="B167" s="123">
        <v>50526</v>
      </c>
      <c r="C167" s="119">
        <f t="shared" si="50"/>
        <v>195192.22026733845</v>
      </c>
      <c r="D167" s="119">
        <f t="shared" si="47"/>
        <v>566.05743877528141</v>
      </c>
      <c r="E167" s="119">
        <f t="shared" si="45"/>
        <v>784.94256122471859</v>
      </c>
      <c r="F167" s="119">
        <v>1351</v>
      </c>
      <c r="G167" s="120"/>
      <c r="H167" s="120"/>
      <c r="I167" s="119">
        <f t="shared" si="51"/>
        <v>875</v>
      </c>
      <c r="J167" s="120"/>
      <c r="K167" s="119"/>
      <c r="L167" s="119"/>
      <c r="M167" s="119"/>
      <c r="N167" s="119"/>
      <c r="O167" s="119">
        <f t="shared" si="49"/>
        <v>308.94256122471859</v>
      </c>
      <c r="P167" s="119"/>
      <c r="Q167" s="120"/>
      <c r="R167" s="120"/>
    </row>
    <row r="168" spans="1:18" x14ac:dyDescent="0.2">
      <c r="B168" s="123">
        <v>50557</v>
      </c>
      <c r="C168" s="119">
        <f t="shared" si="50"/>
        <v>194407.27770611373</v>
      </c>
      <c r="D168" s="119">
        <f t="shared" si="47"/>
        <v>563.78110534772975</v>
      </c>
      <c r="E168" s="119">
        <f t="shared" si="45"/>
        <v>787.21889465227025</v>
      </c>
      <c r="F168" s="119">
        <v>1351</v>
      </c>
      <c r="G168" s="120"/>
      <c r="H168" s="120"/>
      <c r="I168" s="119">
        <f t="shared" si="51"/>
        <v>875</v>
      </c>
      <c r="J168" s="120"/>
      <c r="K168" s="119"/>
      <c r="L168" s="119"/>
      <c r="M168" s="119"/>
      <c r="N168" s="119"/>
      <c r="O168" s="119">
        <f t="shared" si="49"/>
        <v>311.21889465227025</v>
      </c>
      <c r="P168" s="119"/>
      <c r="Q168" s="120"/>
      <c r="R168" s="120"/>
    </row>
    <row r="169" spans="1:18" x14ac:dyDescent="0.2">
      <c r="B169" s="123">
        <v>50587</v>
      </c>
      <c r="C169" s="119">
        <f t="shared" si="50"/>
        <v>193620.05881146147</v>
      </c>
      <c r="D169" s="119">
        <f t="shared" si="47"/>
        <v>561.4981705532382</v>
      </c>
      <c r="E169" s="119">
        <f t="shared" si="45"/>
        <v>789.5018294467618</v>
      </c>
      <c r="F169" s="119">
        <v>1351</v>
      </c>
      <c r="G169" s="120"/>
      <c r="H169" s="120"/>
      <c r="I169" s="119">
        <f t="shared" si="51"/>
        <v>875</v>
      </c>
      <c r="J169" s="120"/>
      <c r="K169" s="119"/>
      <c r="L169" s="119"/>
      <c r="M169" s="119"/>
      <c r="N169" s="119"/>
      <c r="O169" s="119">
        <f t="shared" si="49"/>
        <v>313.5018294467618</v>
      </c>
      <c r="P169" s="119"/>
      <c r="Q169" s="120"/>
      <c r="R169" s="120"/>
    </row>
    <row r="170" spans="1:18" x14ac:dyDescent="0.2">
      <c r="B170" s="123">
        <v>50618</v>
      </c>
      <c r="C170" s="119">
        <f t="shared" si="50"/>
        <v>192830.55698201471</v>
      </c>
      <c r="D170" s="119">
        <f t="shared" si="47"/>
        <v>559.20861524784266</v>
      </c>
      <c r="E170" s="119">
        <f t="shared" si="45"/>
        <v>791.79138475215734</v>
      </c>
      <c r="F170" s="119">
        <v>1351</v>
      </c>
      <c r="G170" s="120"/>
      <c r="H170" s="120"/>
      <c r="I170" s="119">
        <f t="shared" si="51"/>
        <v>875</v>
      </c>
      <c r="J170" s="120"/>
      <c r="K170" s="119"/>
      <c r="L170" s="119"/>
      <c r="M170" s="119"/>
      <c r="N170" s="119"/>
      <c r="O170" s="119">
        <f t="shared" si="49"/>
        <v>315.79138475215734</v>
      </c>
      <c r="P170" s="119"/>
      <c r="Q170" s="120"/>
      <c r="R170" s="120"/>
    </row>
    <row r="171" spans="1:18" x14ac:dyDescent="0.2">
      <c r="B171" s="123">
        <v>50648</v>
      </c>
      <c r="C171" s="119">
        <f>C170-E170</f>
        <v>192038.76559726254</v>
      </c>
      <c r="D171" s="119">
        <v>0</v>
      </c>
      <c r="E171" s="119">
        <v>0</v>
      </c>
      <c r="F171" s="119">
        <v>0</v>
      </c>
      <c r="G171" s="119"/>
      <c r="H171" s="119"/>
      <c r="I171" s="119"/>
      <c r="J171" s="120"/>
      <c r="K171" s="119"/>
      <c r="L171" s="119"/>
      <c r="M171" s="119"/>
      <c r="N171" s="119"/>
      <c r="O171" s="119">
        <f>D171-G171</f>
        <v>0</v>
      </c>
      <c r="P171" s="119"/>
      <c r="Q171" s="120"/>
      <c r="R171" s="120"/>
    </row>
    <row r="172" spans="1:18" x14ac:dyDescent="0.2">
      <c r="B172" s="123">
        <v>50649</v>
      </c>
      <c r="C172" s="119">
        <f>C171-G171</f>
        <v>192038.76559726254</v>
      </c>
      <c r="D172" s="119">
        <f t="shared" ref="D172:D183" si="52">(C172*S$2)/12</f>
        <v>556.91242023206132</v>
      </c>
      <c r="E172" s="119">
        <f t="shared" si="45"/>
        <v>794.08757976793868</v>
      </c>
      <c r="F172" s="119">
        <v>1351</v>
      </c>
      <c r="G172" s="120"/>
      <c r="H172" s="120"/>
      <c r="I172" s="119">
        <f t="shared" ref="I172" si="53">I170</f>
        <v>875</v>
      </c>
      <c r="J172" s="120"/>
      <c r="K172" s="119"/>
      <c r="L172" s="119"/>
      <c r="M172" s="119"/>
      <c r="N172" s="119"/>
      <c r="O172" s="119">
        <f t="shared" ref="O172:O183" si="54">I172-D172</f>
        <v>318.08757976793868</v>
      </c>
      <c r="P172" s="119"/>
      <c r="Q172" s="120"/>
      <c r="R172" s="120"/>
    </row>
    <row r="173" spans="1:18" x14ac:dyDescent="0.2">
      <c r="B173" s="123">
        <v>50679</v>
      </c>
      <c r="C173" s="119">
        <f t="shared" si="50"/>
        <v>191244.67801749459</v>
      </c>
      <c r="D173" s="119">
        <f t="shared" si="52"/>
        <v>554.60956625073425</v>
      </c>
      <c r="E173" s="119">
        <f t="shared" si="45"/>
        <v>796.39043374926575</v>
      </c>
      <c r="F173" s="119">
        <v>1351</v>
      </c>
      <c r="G173" s="120"/>
      <c r="H173" s="120"/>
      <c r="I173" s="119">
        <f>I172</f>
        <v>875</v>
      </c>
      <c r="J173" s="120"/>
      <c r="K173" s="119"/>
      <c r="L173" s="119"/>
      <c r="M173" s="119"/>
      <c r="N173" s="119"/>
      <c r="O173" s="119">
        <f t="shared" si="54"/>
        <v>320.39043374926575</v>
      </c>
      <c r="P173" s="119"/>
      <c r="Q173" s="120"/>
      <c r="R173" s="120"/>
    </row>
    <row r="174" spans="1:18" x14ac:dyDescent="0.2">
      <c r="B174" s="123">
        <v>50710</v>
      </c>
      <c r="C174" s="119">
        <f t="shared" si="50"/>
        <v>190448.28758374532</v>
      </c>
      <c r="D174" s="119">
        <f t="shared" si="52"/>
        <v>552.30003399286136</v>
      </c>
      <c r="E174" s="119">
        <f t="shared" si="45"/>
        <v>798.69996600713864</v>
      </c>
      <c r="F174" s="119">
        <v>1351</v>
      </c>
      <c r="G174" s="120"/>
      <c r="H174" s="120"/>
      <c r="I174" s="119">
        <f>I172</f>
        <v>875</v>
      </c>
      <c r="J174" s="120"/>
      <c r="K174" s="119"/>
      <c r="L174" s="119"/>
      <c r="M174" s="119"/>
      <c r="N174" s="119"/>
      <c r="O174" s="119">
        <f t="shared" si="54"/>
        <v>322.69996600713864</v>
      </c>
      <c r="P174" s="119"/>
      <c r="Q174" s="120"/>
      <c r="R174" s="120"/>
    </row>
    <row r="175" spans="1:18" s="3" customFormat="1" x14ac:dyDescent="0.2">
      <c r="A175" s="3">
        <v>13</v>
      </c>
      <c r="B175" s="121">
        <v>50740</v>
      </c>
      <c r="C175" s="118">
        <f t="shared" si="50"/>
        <v>189649.58761773817</v>
      </c>
      <c r="D175" s="118">
        <f t="shared" si="52"/>
        <v>549.98380409144067</v>
      </c>
      <c r="E175" s="118">
        <f t="shared" si="45"/>
        <v>801.01619590855933</v>
      </c>
      <c r="F175" s="118">
        <v>1351</v>
      </c>
      <c r="G175" s="117"/>
      <c r="H175" s="117"/>
      <c r="I175" s="118">
        <v>875</v>
      </c>
      <c r="J175" s="118">
        <f>(I175/$J$2)/0.66</f>
        <v>16.571969696969695</v>
      </c>
      <c r="K175" s="118">
        <f>SUM(E163:E175)+G171</f>
        <v>9460.7871165277338</v>
      </c>
      <c r="L175" s="118">
        <f>SUM(I163:I175)-SUM(D163:D175)</f>
        <v>3748.787116527732</v>
      </c>
      <c r="M175" s="118"/>
      <c r="N175" s="118">
        <v>2500</v>
      </c>
      <c r="O175" s="118">
        <f t="shared" si="54"/>
        <v>325.01619590855933</v>
      </c>
      <c r="P175" s="118">
        <f>SUM(O163:O175)+M175+N175</f>
        <v>6248.7871165277329</v>
      </c>
      <c r="Q175" s="118">
        <f>L175+M175+N175</f>
        <v>6248.787116527732</v>
      </c>
      <c r="R175" s="122">
        <f>Q175/K175</f>
        <v>0.6604933648291561</v>
      </c>
    </row>
    <row r="176" spans="1:18" x14ac:dyDescent="0.2">
      <c r="B176" s="123">
        <v>50771</v>
      </c>
      <c r="C176" s="119">
        <f t="shared" si="50"/>
        <v>188848.57142182961</v>
      </c>
      <c r="D176" s="119">
        <f t="shared" si="52"/>
        <v>547.66085712330585</v>
      </c>
      <c r="E176" s="119">
        <f t="shared" si="45"/>
        <v>803.33914287669415</v>
      </c>
      <c r="F176" s="119">
        <v>1351</v>
      </c>
      <c r="G176" s="120"/>
      <c r="H176" s="120"/>
      <c r="I176" s="119">
        <f t="shared" ref="I176:I183" si="55">I175</f>
        <v>875</v>
      </c>
      <c r="J176" s="120"/>
      <c r="K176" s="119"/>
      <c r="L176" s="119"/>
      <c r="M176" s="119"/>
      <c r="N176" s="119"/>
      <c r="O176" s="119">
        <f t="shared" si="54"/>
        <v>327.33914287669415</v>
      </c>
      <c r="P176" s="119"/>
      <c r="Q176" s="120"/>
      <c r="R176" s="120"/>
    </row>
    <row r="177" spans="1:18" x14ac:dyDescent="0.2">
      <c r="B177" s="123">
        <v>50802</v>
      </c>
      <c r="C177" s="119">
        <f t="shared" si="50"/>
        <v>188045.2322789529</v>
      </c>
      <c r="D177" s="119">
        <f t="shared" si="52"/>
        <v>545.33117360896335</v>
      </c>
      <c r="E177" s="119">
        <f t="shared" si="45"/>
        <v>805.66882639103665</v>
      </c>
      <c r="F177" s="119">
        <v>1351</v>
      </c>
      <c r="G177" s="120"/>
      <c r="H177" s="120"/>
      <c r="I177" s="119">
        <f t="shared" si="55"/>
        <v>875</v>
      </c>
      <c r="J177" s="120"/>
      <c r="K177" s="119"/>
      <c r="L177" s="119"/>
      <c r="M177" s="119"/>
      <c r="N177" s="119"/>
      <c r="O177" s="119">
        <f t="shared" si="54"/>
        <v>329.66882639103665</v>
      </c>
      <c r="P177" s="119"/>
      <c r="Q177" s="120"/>
      <c r="R177" s="120"/>
    </row>
    <row r="178" spans="1:18" x14ac:dyDescent="0.2">
      <c r="B178" s="123">
        <v>50830</v>
      </c>
      <c r="C178" s="119">
        <f t="shared" si="50"/>
        <v>187239.56345256185</v>
      </c>
      <c r="D178" s="119">
        <f t="shared" si="52"/>
        <v>542.99473401242938</v>
      </c>
      <c r="E178" s="119">
        <f t="shared" si="45"/>
        <v>808.00526598757062</v>
      </c>
      <c r="F178" s="119">
        <v>1351</v>
      </c>
      <c r="G178" s="120"/>
      <c r="H178" s="120"/>
      <c r="I178" s="119">
        <f t="shared" si="55"/>
        <v>875</v>
      </c>
      <c r="J178" s="120"/>
      <c r="K178" s="119"/>
      <c r="L178" s="119"/>
      <c r="M178" s="119"/>
      <c r="N178" s="119"/>
      <c r="O178" s="119">
        <f t="shared" si="54"/>
        <v>332.00526598757062</v>
      </c>
      <c r="P178" s="119"/>
      <c r="Q178" s="120"/>
      <c r="R178" s="120"/>
    </row>
    <row r="179" spans="1:18" x14ac:dyDescent="0.2">
      <c r="B179" s="123">
        <v>50861</v>
      </c>
      <c r="C179" s="119">
        <f t="shared" si="50"/>
        <v>186431.55818657429</v>
      </c>
      <c r="D179" s="119">
        <f t="shared" si="52"/>
        <v>540.65151874106539</v>
      </c>
      <c r="E179" s="119">
        <f t="shared" si="45"/>
        <v>810.34848125893461</v>
      </c>
      <c r="F179" s="119">
        <v>1351</v>
      </c>
      <c r="G179" s="120"/>
      <c r="H179" s="120"/>
      <c r="I179" s="119">
        <f t="shared" si="55"/>
        <v>875</v>
      </c>
      <c r="J179" s="120"/>
      <c r="K179" s="119"/>
      <c r="L179" s="119"/>
      <c r="M179" s="119"/>
      <c r="N179" s="119"/>
      <c r="O179" s="119">
        <f t="shared" si="54"/>
        <v>334.34848125893461</v>
      </c>
      <c r="P179" s="119"/>
      <c r="Q179" s="120"/>
      <c r="R179" s="120"/>
    </row>
    <row r="180" spans="1:18" x14ac:dyDescent="0.2">
      <c r="B180" s="123">
        <v>50891</v>
      </c>
      <c r="C180" s="119">
        <f t="shared" si="50"/>
        <v>185621.20970531536</v>
      </c>
      <c r="D180" s="119">
        <f t="shared" si="52"/>
        <v>538.30150814541446</v>
      </c>
      <c r="E180" s="119">
        <f t="shared" si="45"/>
        <v>812.69849185458554</v>
      </c>
      <c r="F180" s="119">
        <v>1351</v>
      </c>
      <c r="G180" s="120"/>
      <c r="H180" s="120"/>
      <c r="I180" s="119">
        <f t="shared" si="55"/>
        <v>875</v>
      </c>
      <c r="J180" s="120"/>
      <c r="K180" s="119"/>
      <c r="L180" s="119"/>
      <c r="M180" s="119"/>
      <c r="N180" s="119"/>
      <c r="O180" s="119">
        <f t="shared" si="54"/>
        <v>336.69849185458554</v>
      </c>
      <c r="P180" s="119"/>
      <c r="Q180" s="120"/>
      <c r="R180" s="120"/>
    </row>
    <row r="181" spans="1:18" x14ac:dyDescent="0.2">
      <c r="B181" s="123">
        <v>50922</v>
      </c>
      <c r="C181" s="119">
        <f t="shared" si="50"/>
        <v>184808.51121346076</v>
      </c>
      <c r="D181" s="119">
        <f t="shared" si="52"/>
        <v>535.94468251903618</v>
      </c>
      <c r="E181" s="119">
        <f t="shared" si="45"/>
        <v>815.05531748096382</v>
      </c>
      <c r="F181" s="119">
        <v>1351</v>
      </c>
      <c r="G181" s="120"/>
      <c r="H181" s="120"/>
      <c r="I181" s="119">
        <f t="shared" si="55"/>
        <v>875</v>
      </c>
      <c r="J181" s="120"/>
      <c r="K181" s="119"/>
      <c r="L181" s="119"/>
      <c r="M181" s="119"/>
      <c r="N181" s="119"/>
      <c r="O181" s="119">
        <f t="shared" si="54"/>
        <v>339.05531748096382</v>
      </c>
      <c r="P181" s="119"/>
      <c r="Q181" s="120"/>
      <c r="R181" s="120"/>
    </row>
    <row r="182" spans="1:18" x14ac:dyDescent="0.2">
      <c r="B182" s="123">
        <v>50952</v>
      </c>
      <c r="C182" s="119">
        <f t="shared" si="50"/>
        <v>183993.4558959798</v>
      </c>
      <c r="D182" s="119">
        <f t="shared" si="52"/>
        <v>533.58102209834135</v>
      </c>
      <c r="E182" s="119">
        <f t="shared" si="45"/>
        <v>817.41897790165865</v>
      </c>
      <c r="F182" s="119">
        <v>1351</v>
      </c>
      <c r="G182" s="120"/>
      <c r="H182" s="120"/>
      <c r="I182" s="119">
        <f t="shared" si="55"/>
        <v>875</v>
      </c>
      <c r="J182" s="120"/>
      <c r="K182" s="119"/>
      <c r="L182" s="119"/>
      <c r="M182" s="119"/>
      <c r="N182" s="119"/>
      <c r="O182" s="119">
        <f t="shared" si="54"/>
        <v>341.41897790165865</v>
      </c>
      <c r="P182" s="119"/>
      <c r="Q182" s="120"/>
      <c r="R182" s="120"/>
    </row>
    <row r="183" spans="1:18" x14ac:dyDescent="0.2">
      <c r="B183" s="123">
        <v>50983</v>
      </c>
      <c r="C183" s="119">
        <f t="shared" si="50"/>
        <v>183176.03691807814</v>
      </c>
      <c r="D183" s="119">
        <f t="shared" si="52"/>
        <v>531.21050706242659</v>
      </c>
      <c r="E183" s="119">
        <f t="shared" si="45"/>
        <v>819.78949293757341</v>
      </c>
      <c r="F183" s="119">
        <v>1351</v>
      </c>
      <c r="G183" s="120"/>
      <c r="H183" s="120"/>
      <c r="I183" s="119">
        <f t="shared" si="55"/>
        <v>875</v>
      </c>
      <c r="J183" s="120"/>
      <c r="K183" s="119"/>
      <c r="L183" s="119"/>
      <c r="M183" s="119"/>
      <c r="N183" s="119"/>
      <c r="O183" s="119">
        <f t="shared" si="54"/>
        <v>343.78949293757341</v>
      </c>
      <c r="P183" s="119"/>
      <c r="Q183" s="120"/>
      <c r="R183" s="120"/>
    </row>
    <row r="184" spans="1:18" x14ac:dyDescent="0.2">
      <c r="B184" s="123">
        <v>51013</v>
      </c>
      <c r="C184" s="119">
        <f>C183-E183</f>
        <v>182356.24742514058</v>
      </c>
      <c r="D184" s="119">
        <v>0</v>
      </c>
      <c r="E184" s="119">
        <v>0</v>
      </c>
      <c r="F184" s="119">
        <v>0</v>
      </c>
      <c r="G184" s="119"/>
      <c r="H184" s="119"/>
      <c r="I184" s="119"/>
      <c r="J184" s="120"/>
      <c r="K184" s="119"/>
      <c r="L184" s="119"/>
      <c r="M184" s="119"/>
      <c r="N184" s="119"/>
      <c r="O184" s="119">
        <f>D184-G184</f>
        <v>0</v>
      </c>
      <c r="P184" s="119"/>
      <c r="Q184" s="120"/>
      <c r="R184" s="120"/>
    </row>
    <row r="185" spans="1:18" x14ac:dyDescent="0.2">
      <c r="B185" s="123">
        <v>51014</v>
      </c>
      <c r="C185" s="119">
        <f>C184-G184</f>
        <v>182356.24742514058</v>
      </c>
      <c r="D185" s="119">
        <f t="shared" ref="D185:D196" si="56">(C185*S$2)/12</f>
        <v>528.83311753290764</v>
      </c>
      <c r="E185" s="119">
        <f t="shared" si="45"/>
        <v>822.16688246709236</v>
      </c>
      <c r="F185" s="119">
        <v>1351</v>
      </c>
      <c r="G185" s="120"/>
      <c r="H185" s="120"/>
      <c r="I185" s="119">
        <f t="shared" ref="I185" si="57">I183</f>
        <v>875</v>
      </c>
      <c r="J185" s="120"/>
      <c r="K185" s="119"/>
      <c r="L185" s="119"/>
      <c r="M185" s="119"/>
      <c r="N185" s="119"/>
      <c r="O185" s="119">
        <f t="shared" ref="O185:O196" si="58">I185-D185</f>
        <v>346.16688246709236</v>
      </c>
      <c r="P185" s="119"/>
      <c r="Q185" s="120"/>
      <c r="R185" s="120"/>
    </row>
    <row r="186" spans="1:18" x14ac:dyDescent="0.2">
      <c r="B186" s="123">
        <v>51044</v>
      </c>
      <c r="C186" s="119">
        <f t="shared" si="50"/>
        <v>181534.08054267347</v>
      </c>
      <c r="D186" s="119">
        <f t="shared" si="56"/>
        <v>526.44883357375306</v>
      </c>
      <c r="E186" s="119">
        <f t="shared" si="45"/>
        <v>824.55116642624694</v>
      </c>
      <c r="F186" s="119">
        <v>1351</v>
      </c>
      <c r="G186" s="120"/>
      <c r="H186" s="120"/>
      <c r="I186" s="119">
        <f>I185</f>
        <v>875</v>
      </c>
      <c r="J186" s="120"/>
      <c r="K186" s="119"/>
      <c r="L186" s="119"/>
      <c r="M186" s="119"/>
      <c r="N186" s="119"/>
      <c r="O186" s="119">
        <f t="shared" si="58"/>
        <v>348.55116642624694</v>
      </c>
      <c r="P186" s="119"/>
      <c r="Q186" s="120"/>
      <c r="R186" s="120"/>
    </row>
    <row r="187" spans="1:18" x14ac:dyDescent="0.2">
      <c r="B187" s="123">
        <v>51075</v>
      </c>
      <c r="C187" s="119">
        <f t="shared" si="50"/>
        <v>180709.52937624723</v>
      </c>
      <c r="D187" s="119">
        <f t="shared" si="56"/>
        <v>524.0576351911169</v>
      </c>
      <c r="E187" s="119">
        <f t="shared" si="45"/>
        <v>826.9423648088831</v>
      </c>
      <c r="F187" s="119">
        <v>1351</v>
      </c>
      <c r="G187" s="120"/>
      <c r="H187" s="120"/>
      <c r="I187" s="119">
        <f>I185</f>
        <v>875</v>
      </c>
      <c r="J187" s="120"/>
      <c r="K187" s="119"/>
      <c r="L187" s="119"/>
      <c r="M187" s="119"/>
      <c r="N187" s="119"/>
      <c r="O187" s="119">
        <f t="shared" si="58"/>
        <v>350.9423648088831</v>
      </c>
      <c r="P187" s="119"/>
      <c r="Q187" s="120"/>
      <c r="R187" s="120"/>
    </row>
    <row r="188" spans="1:18" s="3" customFormat="1" x14ac:dyDescent="0.2">
      <c r="A188" s="3">
        <v>14</v>
      </c>
      <c r="B188" s="121">
        <v>51105</v>
      </c>
      <c r="C188" s="118">
        <f t="shared" si="50"/>
        <v>179882.58701143836</v>
      </c>
      <c r="D188" s="118">
        <f t="shared" si="56"/>
        <v>521.65950233317119</v>
      </c>
      <c r="E188" s="118">
        <f t="shared" si="45"/>
        <v>829.34049766682881</v>
      </c>
      <c r="F188" s="118">
        <v>1351</v>
      </c>
      <c r="G188" s="117"/>
      <c r="H188" s="117"/>
      <c r="I188" s="118">
        <v>875</v>
      </c>
      <c r="J188" s="118">
        <f>(I188/$J$2)/0.66</f>
        <v>16.571969696969695</v>
      </c>
      <c r="K188" s="118">
        <f>SUM(E176:E188)+G184</f>
        <v>9795.3249080580681</v>
      </c>
      <c r="L188" s="118">
        <f>SUM(I176:I188)-SUM(D176:D188)</f>
        <v>4083.324908058069</v>
      </c>
      <c r="M188" s="118"/>
      <c r="N188" s="118">
        <v>2500</v>
      </c>
      <c r="O188" s="118">
        <f t="shared" si="58"/>
        <v>353.34049766682881</v>
      </c>
      <c r="P188" s="118">
        <f>SUM(O176:O188)+M188+N188</f>
        <v>6583.324908058069</v>
      </c>
      <c r="Q188" s="118">
        <f>L188+M188+N188</f>
        <v>6583.324908058069</v>
      </c>
      <c r="R188" s="122">
        <f>Q188/K188</f>
        <v>0.67208846769772124</v>
      </c>
    </row>
    <row r="189" spans="1:18" x14ac:dyDescent="0.2">
      <c r="B189" s="123">
        <v>51136</v>
      </c>
      <c r="C189" s="119">
        <f t="shared" si="50"/>
        <v>179053.24651377153</v>
      </c>
      <c r="D189" s="119">
        <f t="shared" si="56"/>
        <v>519.25441488993738</v>
      </c>
      <c r="E189" s="119">
        <f t="shared" si="45"/>
        <v>831.74558511006262</v>
      </c>
      <c r="F189" s="119">
        <v>1351</v>
      </c>
      <c r="G189" s="120"/>
      <c r="H189" s="120"/>
      <c r="I189" s="119">
        <f t="shared" ref="I189:I196" si="59">I188</f>
        <v>875</v>
      </c>
      <c r="J189" s="120"/>
      <c r="K189" s="119"/>
      <c r="L189" s="119"/>
      <c r="M189" s="119"/>
      <c r="N189" s="119"/>
      <c r="O189" s="119">
        <f t="shared" si="58"/>
        <v>355.74558511006262</v>
      </c>
      <c r="P189" s="119"/>
      <c r="Q189" s="120"/>
      <c r="R189" s="120"/>
    </row>
    <row r="190" spans="1:18" x14ac:dyDescent="0.2">
      <c r="B190" s="123">
        <v>51167</v>
      </c>
      <c r="C190" s="119">
        <f t="shared" si="50"/>
        <v>178221.50092866147</v>
      </c>
      <c r="D190" s="119">
        <f t="shared" si="56"/>
        <v>516.84235269311819</v>
      </c>
      <c r="E190" s="119">
        <f t="shared" si="45"/>
        <v>834.15764730688181</v>
      </c>
      <c r="F190" s="119">
        <v>1351</v>
      </c>
      <c r="G190" s="120"/>
      <c r="H190" s="120"/>
      <c r="I190" s="119">
        <f t="shared" si="59"/>
        <v>875</v>
      </c>
      <c r="J190" s="120"/>
      <c r="K190" s="119"/>
      <c r="L190" s="119"/>
      <c r="M190" s="119"/>
      <c r="N190" s="119"/>
      <c r="O190" s="119">
        <f t="shared" si="58"/>
        <v>358.15764730688181</v>
      </c>
      <c r="P190" s="119"/>
      <c r="Q190" s="120"/>
      <c r="R190" s="120"/>
    </row>
    <row r="191" spans="1:18" x14ac:dyDescent="0.2">
      <c r="B191" s="123">
        <v>51196</v>
      </c>
      <c r="C191" s="119">
        <f t="shared" si="50"/>
        <v>177387.34328135458</v>
      </c>
      <c r="D191" s="119">
        <f t="shared" si="56"/>
        <v>514.42329551592832</v>
      </c>
      <c r="E191" s="119">
        <f t="shared" si="45"/>
        <v>836.57670448407168</v>
      </c>
      <c r="F191" s="119">
        <v>1351</v>
      </c>
      <c r="G191" s="120"/>
      <c r="H191" s="120"/>
      <c r="I191" s="119">
        <f t="shared" si="59"/>
        <v>875</v>
      </c>
      <c r="J191" s="120"/>
      <c r="K191" s="119"/>
      <c r="L191" s="119"/>
      <c r="M191" s="119"/>
      <c r="N191" s="119"/>
      <c r="O191" s="119">
        <f t="shared" si="58"/>
        <v>360.57670448407168</v>
      </c>
      <c r="P191" s="119"/>
      <c r="Q191" s="120"/>
      <c r="R191" s="120"/>
    </row>
    <row r="192" spans="1:18" x14ac:dyDescent="0.2">
      <c r="B192" s="123">
        <v>51227</v>
      </c>
      <c r="C192" s="119">
        <f t="shared" si="50"/>
        <v>176550.76657687052</v>
      </c>
      <c r="D192" s="119">
        <f t="shared" si="56"/>
        <v>511.9972230729245</v>
      </c>
      <c r="E192" s="119">
        <f t="shared" si="45"/>
        <v>839.0027769270755</v>
      </c>
      <c r="F192" s="119">
        <v>1351</v>
      </c>
      <c r="G192" s="120"/>
      <c r="H192" s="120"/>
      <c r="I192" s="119">
        <f t="shared" si="59"/>
        <v>875</v>
      </c>
      <c r="J192" s="120"/>
      <c r="K192" s="119"/>
      <c r="L192" s="119"/>
      <c r="M192" s="119"/>
      <c r="N192" s="119"/>
      <c r="O192" s="119">
        <f t="shared" si="58"/>
        <v>363.0027769270755</v>
      </c>
      <c r="P192" s="119"/>
      <c r="Q192" s="120"/>
      <c r="R192" s="120"/>
    </row>
    <row r="193" spans="1:18" x14ac:dyDescent="0.2">
      <c r="B193" s="123">
        <v>51257</v>
      </c>
      <c r="C193" s="119">
        <f t="shared" si="50"/>
        <v>175711.76379994344</v>
      </c>
      <c r="D193" s="119">
        <f t="shared" si="56"/>
        <v>509.56411501983592</v>
      </c>
      <c r="E193" s="119">
        <f t="shared" si="45"/>
        <v>841.43588498016402</v>
      </c>
      <c r="F193" s="119">
        <v>1351</v>
      </c>
      <c r="G193" s="120"/>
      <c r="H193" s="120"/>
      <c r="I193" s="119">
        <f t="shared" si="59"/>
        <v>875</v>
      </c>
      <c r="J193" s="120"/>
      <c r="K193" s="119"/>
      <c r="L193" s="119"/>
      <c r="M193" s="119"/>
      <c r="N193" s="119"/>
      <c r="O193" s="119">
        <f t="shared" si="58"/>
        <v>365.43588498016408</v>
      </c>
      <c r="P193" s="119"/>
      <c r="Q193" s="120"/>
      <c r="R193" s="120"/>
    </row>
    <row r="194" spans="1:18" x14ac:dyDescent="0.2">
      <c r="B194" s="123">
        <v>51288</v>
      </c>
      <c r="C194" s="119">
        <f t="shared" si="50"/>
        <v>174870.32791496327</v>
      </c>
      <c r="D194" s="119">
        <f t="shared" si="56"/>
        <v>507.12395095339343</v>
      </c>
      <c r="E194" s="119">
        <f t="shared" si="45"/>
        <v>843.87604904660657</v>
      </c>
      <c r="F194" s="119">
        <v>1351</v>
      </c>
      <c r="G194" s="120"/>
      <c r="H194" s="120"/>
      <c r="I194" s="119">
        <f t="shared" si="59"/>
        <v>875</v>
      </c>
      <c r="J194" s="120"/>
      <c r="K194" s="119"/>
      <c r="L194" s="119"/>
      <c r="M194" s="119"/>
      <c r="N194" s="119"/>
      <c r="O194" s="119">
        <f t="shared" si="58"/>
        <v>367.87604904660657</v>
      </c>
      <c r="P194" s="119"/>
      <c r="Q194" s="120"/>
      <c r="R194" s="120"/>
    </row>
    <row r="195" spans="1:18" x14ac:dyDescent="0.2">
      <c r="B195" s="123">
        <v>51318</v>
      </c>
      <c r="C195" s="119">
        <f t="shared" si="50"/>
        <v>174026.45186591666</v>
      </c>
      <c r="D195" s="119">
        <f t="shared" si="56"/>
        <v>504.67671041115824</v>
      </c>
      <c r="E195" s="119">
        <f t="shared" si="45"/>
        <v>846.32328958884182</v>
      </c>
      <c r="F195" s="119">
        <v>1351</v>
      </c>
      <c r="G195" s="120"/>
      <c r="H195" s="120"/>
      <c r="I195" s="119">
        <f t="shared" si="59"/>
        <v>875</v>
      </c>
      <c r="J195" s="120"/>
      <c r="K195" s="119"/>
      <c r="L195" s="119"/>
      <c r="M195" s="119"/>
      <c r="N195" s="119"/>
      <c r="O195" s="119">
        <f t="shared" si="58"/>
        <v>370.32328958884176</v>
      </c>
      <c r="P195" s="119"/>
      <c r="Q195" s="120"/>
      <c r="R195" s="120"/>
    </row>
    <row r="196" spans="1:18" x14ac:dyDescent="0.2">
      <c r="B196" s="123">
        <v>51349</v>
      </c>
      <c r="C196" s="119">
        <f t="shared" si="50"/>
        <v>173180.12857632781</v>
      </c>
      <c r="D196" s="119">
        <f t="shared" si="56"/>
        <v>502.22237287135061</v>
      </c>
      <c r="E196" s="119">
        <f t="shared" si="45"/>
        <v>848.77762712864933</v>
      </c>
      <c r="F196" s="119">
        <v>1351</v>
      </c>
      <c r="G196" s="120"/>
      <c r="H196" s="120"/>
      <c r="I196" s="119">
        <f t="shared" si="59"/>
        <v>875</v>
      </c>
      <c r="J196" s="120"/>
      <c r="K196" s="119"/>
      <c r="L196" s="119"/>
      <c r="M196" s="119"/>
      <c r="N196" s="119"/>
      <c r="O196" s="119">
        <f t="shared" si="58"/>
        <v>372.77762712864939</v>
      </c>
      <c r="P196" s="119"/>
      <c r="Q196" s="120"/>
      <c r="R196" s="120"/>
    </row>
    <row r="197" spans="1:18" x14ac:dyDescent="0.2">
      <c r="B197" s="123">
        <v>51379</v>
      </c>
      <c r="C197" s="119">
        <f>C196-E196</f>
        <v>172331.35094919917</v>
      </c>
      <c r="D197" s="119">
        <v>0</v>
      </c>
      <c r="E197" s="119">
        <v>0</v>
      </c>
      <c r="F197" s="119">
        <v>0</v>
      </c>
      <c r="G197" s="119"/>
      <c r="H197" s="119"/>
      <c r="I197" s="119"/>
      <c r="J197" s="120"/>
      <c r="K197" s="119"/>
      <c r="L197" s="119"/>
      <c r="M197" s="119"/>
      <c r="N197" s="119"/>
      <c r="O197" s="119">
        <f>D197-G197</f>
        <v>0</v>
      </c>
      <c r="P197" s="119"/>
      <c r="Q197" s="120"/>
      <c r="R197" s="120"/>
    </row>
    <row r="198" spans="1:18" x14ac:dyDescent="0.2">
      <c r="B198" s="123">
        <v>51380</v>
      </c>
      <c r="C198" s="119">
        <f>C197-G197</f>
        <v>172331.35094919917</v>
      </c>
      <c r="D198" s="119">
        <f t="shared" ref="D198:D261" si="60">(C198*S$2)/12</f>
        <v>499.76091775267759</v>
      </c>
      <c r="E198" s="119">
        <f t="shared" si="45"/>
        <v>851.23908224732236</v>
      </c>
      <c r="F198" s="119">
        <v>1351</v>
      </c>
      <c r="G198" s="120"/>
      <c r="H198" s="120"/>
      <c r="I198" s="119">
        <f t="shared" ref="I198" si="61">I196</f>
        <v>875</v>
      </c>
      <c r="J198" s="120"/>
      <c r="K198" s="119"/>
      <c r="L198" s="119"/>
      <c r="M198" s="119"/>
      <c r="N198" s="119"/>
      <c r="O198" s="119">
        <f t="shared" ref="O198:O212" si="62">I198-D198</f>
        <v>375.23908224732241</v>
      </c>
      <c r="P198" s="119"/>
      <c r="Q198" s="120"/>
      <c r="R198" s="120"/>
    </row>
    <row r="199" spans="1:18" x14ac:dyDescent="0.2">
      <c r="B199" s="123">
        <v>51410</v>
      </c>
      <c r="C199" s="119">
        <f t="shared" si="50"/>
        <v>171480.11186695186</v>
      </c>
      <c r="D199" s="119">
        <f t="shared" si="60"/>
        <v>497.29232441416042</v>
      </c>
      <c r="E199" s="119">
        <f t="shared" si="45"/>
        <v>853.70767558583952</v>
      </c>
      <c r="F199" s="119">
        <v>1351</v>
      </c>
      <c r="G199" s="120"/>
      <c r="H199" s="120"/>
      <c r="I199" s="119">
        <f>I198</f>
        <v>875</v>
      </c>
      <c r="J199" s="120"/>
      <c r="K199" s="119"/>
      <c r="L199" s="119"/>
      <c r="M199" s="119"/>
      <c r="N199" s="119"/>
      <c r="O199" s="119">
        <f t="shared" si="62"/>
        <v>377.70767558583958</v>
      </c>
      <c r="P199" s="119"/>
      <c r="Q199" s="120"/>
      <c r="R199" s="120"/>
    </row>
    <row r="200" spans="1:18" x14ac:dyDescent="0.2">
      <c r="B200" s="123">
        <v>51441</v>
      </c>
      <c r="C200" s="119">
        <f t="shared" si="50"/>
        <v>170626.40419136602</v>
      </c>
      <c r="D200" s="119">
        <f t="shared" si="60"/>
        <v>494.81657215496142</v>
      </c>
      <c r="E200" s="119">
        <f t="shared" si="45"/>
        <v>856.18342784503852</v>
      </c>
      <c r="F200" s="119">
        <v>1351</v>
      </c>
      <c r="G200" s="120"/>
      <c r="H200" s="120"/>
      <c r="I200" s="119">
        <f>I198</f>
        <v>875</v>
      </c>
      <c r="J200" s="120"/>
      <c r="K200" s="119"/>
      <c r="L200" s="119"/>
      <c r="M200" s="119"/>
      <c r="N200" s="119"/>
      <c r="O200" s="119">
        <f t="shared" si="62"/>
        <v>380.18342784503858</v>
      </c>
      <c r="P200" s="119"/>
      <c r="Q200" s="120"/>
      <c r="R200" s="120"/>
    </row>
    <row r="201" spans="1:18" s="3" customFormat="1" x14ac:dyDescent="0.2">
      <c r="A201" s="3">
        <v>15</v>
      </c>
      <c r="B201" s="121">
        <v>51471</v>
      </c>
      <c r="C201" s="118">
        <f t="shared" si="50"/>
        <v>169770.22076352098</v>
      </c>
      <c r="D201" s="118">
        <f t="shared" si="60"/>
        <v>492.33364021421079</v>
      </c>
      <c r="E201" s="118">
        <f t="shared" si="45"/>
        <v>858.66635978578915</v>
      </c>
      <c r="F201" s="118">
        <v>1351</v>
      </c>
      <c r="G201" s="117"/>
      <c r="H201" s="117"/>
      <c r="I201" s="118">
        <v>875</v>
      </c>
      <c r="J201" s="118">
        <f>(I201/$J$2)/0.66</f>
        <v>16.571969696969695</v>
      </c>
      <c r="K201" s="118">
        <f>SUM(E189:E201)+G197</f>
        <v>10141.692110036343</v>
      </c>
      <c r="L201" s="118">
        <f>SUM(I189:I201)-SUM(D189:D201)</f>
        <v>4429.6921100363443</v>
      </c>
      <c r="M201" s="118"/>
      <c r="N201" s="118">
        <v>2500</v>
      </c>
      <c r="O201" s="118">
        <f t="shared" si="62"/>
        <v>382.66635978578921</v>
      </c>
      <c r="P201" s="118">
        <f>SUM(O189:O201)+M201+N201</f>
        <v>6929.6921100363434</v>
      </c>
      <c r="Q201" s="118">
        <f>L201+M201+N201</f>
        <v>6929.6921100363443</v>
      </c>
      <c r="R201" s="122">
        <f>Q201/K201</f>
        <v>0.68328756531453327</v>
      </c>
    </row>
    <row r="202" spans="1:18" x14ac:dyDescent="0.2">
      <c r="B202" s="123">
        <v>51502</v>
      </c>
      <c r="C202" s="119">
        <f t="shared" si="50"/>
        <v>168911.55440373518</v>
      </c>
      <c r="D202" s="119">
        <f t="shared" si="60"/>
        <v>489.84350777083199</v>
      </c>
      <c r="E202" s="119">
        <f t="shared" si="45"/>
        <v>861.15649222916795</v>
      </c>
      <c r="F202" s="119">
        <v>1351</v>
      </c>
      <c r="G202" s="120"/>
      <c r="H202" s="120"/>
      <c r="I202" s="119">
        <f t="shared" ref="I202:I210" si="63">I201</f>
        <v>875</v>
      </c>
      <c r="J202" s="120"/>
      <c r="K202" s="119"/>
      <c r="L202" s="119"/>
      <c r="M202" s="119"/>
      <c r="N202" s="119"/>
      <c r="O202" s="119">
        <f t="shared" si="62"/>
        <v>385.15649222916801</v>
      </c>
      <c r="P202" s="119"/>
      <c r="Q202" s="120"/>
      <c r="R202" s="120"/>
    </row>
    <row r="203" spans="1:18" x14ac:dyDescent="0.2">
      <c r="B203" s="123">
        <v>51533</v>
      </c>
      <c r="C203" s="119">
        <f t="shared" si="50"/>
        <v>168050.39791150601</v>
      </c>
      <c r="D203" s="119">
        <f t="shared" si="60"/>
        <v>487.34615394336737</v>
      </c>
      <c r="E203" s="119">
        <f t="shared" si="45"/>
        <v>863.65384605663257</v>
      </c>
      <c r="F203" s="119">
        <v>1351</v>
      </c>
      <c r="G203" s="120"/>
      <c r="H203" s="120"/>
      <c r="I203" s="119">
        <f t="shared" si="63"/>
        <v>875</v>
      </c>
      <c r="J203" s="120"/>
      <c r="K203" s="119"/>
      <c r="L203" s="119"/>
      <c r="M203" s="119"/>
      <c r="N203" s="119"/>
      <c r="O203" s="119">
        <f t="shared" si="62"/>
        <v>387.65384605663263</v>
      </c>
      <c r="P203" s="119"/>
      <c r="Q203" s="120"/>
      <c r="R203" s="120"/>
    </row>
    <row r="204" spans="1:18" x14ac:dyDescent="0.2">
      <c r="B204" s="123">
        <v>51561</v>
      </c>
      <c r="C204" s="119">
        <f t="shared" si="50"/>
        <v>167186.74406544937</v>
      </c>
      <c r="D204" s="119">
        <f t="shared" si="60"/>
        <v>484.84155778980312</v>
      </c>
      <c r="E204" s="119">
        <f t="shared" si="45"/>
        <v>866.15844221019688</v>
      </c>
      <c r="F204" s="119">
        <v>1351</v>
      </c>
      <c r="G204" s="120"/>
      <c r="H204" s="120"/>
      <c r="I204" s="119">
        <f t="shared" si="63"/>
        <v>875</v>
      </c>
      <c r="J204" s="120"/>
      <c r="K204" s="119"/>
      <c r="L204" s="119"/>
      <c r="M204" s="119"/>
      <c r="N204" s="119"/>
      <c r="O204" s="119">
        <f t="shared" si="62"/>
        <v>390.15844221019688</v>
      </c>
      <c r="P204" s="119"/>
      <c r="Q204" s="120"/>
      <c r="R204" s="120"/>
    </row>
    <row r="205" spans="1:18" x14ac:dyDescent="0.2">
      <c r="B205" s="123">
        <v>51592</v>
      </c>
      <c r="C205" s="119">
        <f t="shared" si="50"/>
        <v>166320.58562323917</v>
      </c>
      <c r="D205" s="119">
        <f t="shared" si="60"/>
        <v>482.32969830739353</v>
      </c>
      <c r="E205" s="119">
        <f t="shared" si="45"/>
        <v>868.67030169260647</v>
      </c>
      <c r="F205" s="119">
        <v>1351</v>
      </c>
      <c r="G205" s="120"/>
      <c r="H205" s="120"/>
      <c r="I205" s="119">
        <f t="shared" si="63"/>
        <v>875</v>
      </c>
      <c r="J205" s="120"/>
      <c r="K205" s="119"/>
      <c r="L205" s="119"/>
      <c r="M205" s="119"/>
      <c r="N205" s="119"/>
      <c r="O205" s="119">
        <f t="shared" si="62"/>
        <v>392.67030169260647</v>
      </c>
      <c r="P205" s="119"/>
      <c r="Q205" s="120"/>
      <c r="R205" s="120"/>
    </row>
    <row r="206" spans="1:18" x14ac:dyDescent="0.2">
      <c r="B206" s="123">
        <v>51622</v>
      </c>
      <c r="C206" s="119">
        <f t="shared" si="50"/>
        <v>165451.91532154655</v>
      </c>
      <c r="D206" s="119">
        <f t="shared" si="60"/>
        <v>479.81055443248493</v>
      </c>
      <c r="E206" s="119">
        <f t="shared" si="45"/>
        <v>871.18944556751512</v>
      </c>
      <c r="F206" s="119">
        <v>1351</v>
      </c>
      <c r="G206" s="120"/>
      <c r="H206" s="120"/>
      <c r="I206" s="119">
        <f t="shared" si="63"/>
        <v>875</v>
      </c>
      <c r="J206" s="120"/>
      <c r="K206" s="119"/>
      <c r="L206" s="119"/>
      <c r="M206" s="119"/>
      <c r="N206" s="119"/>
      <c r="O206" s="119">
        <f t="shared" si="62"/>
        <v>395.18944556751507</v>
      </c>
      <c r="P206" s="119"/>
      <c r="Q206" s="120"/>
      <c r="R206" s="120"/>
    </row>
    <row r="207" spans="1:18" x14ac:dyDescent="0.2">
      <c r="B207" s="123">
        <v>51653</v>
      </c>
      <c r="C207" s="119">
        <f t="shared" si="50"/>
        <v>164580.72587597903</v>
      </c>
      <c r="D207" s="119">
        <f t="shared" si="60"/>
        <v>477.28410504033917</v>
      </c>
      <c r="E207" s="119">
        <f t="shared" si="45"/>
        <v>873.71589495966077</v>
      </c>
      <c r="F207" s="119">
        <v>1351</v>
      </c>
      <c r="G207" s="120"/>
      <c r="H207" s="120"/>
      <c r="I207" s="119">
        <f t="shared" si="63"/>
        <v>875</v>
      </c>
      <c r="J207" s="120"/>
      <c r="K207" s="119"/>
      <c r="L207" s="119"/>
      <c r="M207" s="119"/>
      <c r="N207" s="119"/>
      <c r="O207" s="119">
        <f t="shared" si="62"/>
        <v>397.71589495966083</v>
      </c>
      <c r="P207" s="119"/>
      <c r="Q207" s="120"/>
      <c r="R207" s="120"/>
    </row>
    <row r="208" spans="1:18" x14ac:dyDescent="0.2">
      <c r="B208" s="123">
        <v>51683</v>
      </c>
      <c r="C208" s="119">
        <f t="shared" si="50"/>
        <v>163707.00998101936</v>
      </c>
      <c r="D208" s="119">
        <f t="shared" si="60"/>
        <v>474.75032894495615</v>
      </c>
      <c r="E208" s="119">
        <f t="shared" si="45"/>
        <v>876.24967105504379</v>
      </c>
      <c r="F208" s="119">
        <v>1351</v>
      </c>
      <c r="G208" s="120"/>
      <c r="H208" s="120"/>
      <c r="I208" s="119">
        <f t="shared" si="63"/>
        <v>875</v>
      </c>
      <c r="J208" s="120"/>
      <c r="K208" s="119"/>
      <c r="L208" s="119"/>
      <c r="M208" s="119"/>
      <c r="N208" s="119"/>
      <c r="O208" s="119">
        <f t="shared" si="62"/>
        <v>400.24967105504385</v>
      </c>
      <c r="P208" s="119"/>
      <c r="Q208" s="120"/>
      <c r="R208" s="120"/>
    </row>
    <row r="209" spans="1:19" x14ac:dyDescent="0.2">
      <c r="B209" s="123">
        <v>51714</v>
      </c>
      <c r="C209" s="119">
        <f t="shared" si="50"/>
        <v>162830.76030996433</v>
      </c>
      <c r="D209" s="119">
        <f t="shared" si="60"/>
        <v>472.20920489889653</v>
      </c>
      <c r="E209" s="119">
        <f t="shared" si="45"/>
        <v>878.79079510110341</v>
      </c>
      <c r="F209" s="119">
        <v>1351</v>
      </c>
      <c r="G209" s="120"/>
      <c r="H209" s="120"/>
      <c r="I209" s="119">
        <f t="shared" si="63"/>
        <v>875</v>
      </c>
      <c r="J209" s="120"/>
      <c r="K209" s="119"/>
      <c r="L209" s="119"/>
      <c r="M209" s="119"/>
      <c r="N209" s="119"/>
      <c r="O209" s="119">
        <f t="shared" si="62"/>
        <v>402.79079510110347</v>
      </c>
      <c r="P209" s="119"/>
      <c r="Q209" s="120"/>
      <c r="R209" s="120"/>
    </row>
    <row r="210" spans="1:19" x14ac:dyDescent="0.2">
      <c r="B210" s="123">
        <v>51745</v>
      </c>
      <c r="C210" s="119">
        <f t="shared" si="50"/>
        <v>161951.96951486322</v>
      </c>
      <c r="D210" s="119">
        <f t="shared" si="60"/>
        <v>469.66071159310331</v>
      </c>
      <c r="E210" s="119">
        <f t="shared" si="45"/>
        <v>881.33928840689669</v>
      </c>
      <c r="F210" s="119">
        <v>1351</v>
      </c>
      <c r="G210" s="120"/>
      <c r="H210" s="120"/>
      <c r="I210" s="119">
        <f t="shared" si="63"/>
        <v>875</v>
      </c>
      <c r="J210" s="120"/>
      <c r="K210" s="119"/>
      <c r="L210" s="119"/>
      <c r="M210" s="119"/>
      <c r="N210" s="119"/>
      <c r="O210" s="119">
        <f t="shared" si="62"/>
        <v>405.33928840689669</v>
      </c>
      <c r="P210" s="119"/>
      <c r="Q210" s="120"/>
      <c r="R210" s="120"/>
    </row>
    <row r="211" spans="1:19" s="4" customFormat="1" x14ac:dyDescent="0.2">
      <c r="B211" s="123">
        <v>51775</v>
      </c>
      <c r="C211" s="119">
        <f t="shared" si="50"/>
        <v>161070.63022645633</v>
      </c>
      <c r="D211" s="119">
        <f t="shared" si="60"/>
        <v>467.10482765672333</v>
      </c>
      <c r="E211" s="119">
        <f t="shared" si="45"/>
        <v>883.89517234327673</v>
      </c>
      <c r="F211" s="119">
        <v>1351</v>
      </c>
      <c r="G211" s="120"/>
      <c r="H211" s="120"/>
      <c r="I211" s="119">
        <f t="shared" ref="I211" si="64">I209</f>
        <v>875</v>
      </c>
      <c r="J211" s="120"/>
      <c r="K211" s="119"/>
      <c r="L211" s="119"/>
      <c r="M211" s="119"/>
      <c r="N211" s="119"/>
      <c r="O211" s="125">
        <f t="shared" si="62"/>
        <v>407.89517234327667</v>
      </c>
      <c r="P211" s="119"/>
      <c r="Q211" s="120"/>
      <c r="R211" s="120"/>
    </row>
    <row r="212" spans="1:19" x14ac:dyDescent="0.2">
      <c r="B212" s="123">
        <v>51806</v>
      </c>
      <c r="C212" s="119">
        <f t="shared" si="50"/>
        <v>160186.73505411306</v>
      </c>
      <c r="D212" s="119">
        <f t="shared" si="60"/>
        <v>464.54153165692787</v>
      </c>
      <c r="E212" s="119">
        <f t="shared" si="45"/>
        <v>886.45846834307213</v>
      </c>
      <c r="F212" s="119">
        <v>1351</v>
      </c>
      <c r="G212" s="120"/>
      <c r="H212" s="120"/>
      <c r="I212" s="119">
        <f>I211</f>
        <v>875</v>
      </c>
      <c r="J212" s="120"/>
      <c r="K212" s="119"/>
      <c r="L212" s="119"/>
      <c r="M212" s="119"/>
      <c r="N212" s="119"/>
      <c r="O212" s="125">
        <f t="shared" si="62"/>
        <v>410.45846834307213</v>
      </c>
      <c r="P212" s="119"/>
      <c r="Q212" s="120"/>
      <c r="R212" s="120"/>
    </row>
    <row r="213" spans="1:19" x14ac:dyDescent="0.2">
      <c r="A213">
        <v>16</v>
      </c>
      <c r="B213" s="123">
        <v>51836</v>
      </c>
      <c r="C213" s="119">
        <f t="shared" si="50"/>
        <v>159300.27658576999</v>
      </c>
      <c r="D213" s="119">
        <f t="shared" si="60"/>
        <v>461.97080209873292</v>
      </c>
      <c r="E213" s="119">
        <f t="shared" si="45"/>
        <v>889.02919790126703</v>
      </c>
      <c r="F213" s="119">
        <v>1351</v>
      </c>
      <c r="G213" s="120"/>
      <c r="H213" s="120"/>
      <c r="I213" s="118">
        <v>925</v>
      </c>
      <c r="J213" s="118">
        <f>(I213/$J$2)/0.66</f>
        <v>17.518939393939394</v>
      </c>
      <c r="K213" s="118">
        <f>SUM(E202:E213)</f>
        <v>10500.30701586644</v>
      </c>
      <c r="L213" s="118">
        <f>SUM(I202:I213)-SUM(D202:D213)</f>
        <v>4838.3070158664405</v>
      </c>
      <c r="M213" s="118"/>
      <c r="N213" s="118">
        <v>2500</v>
      </c>
      <c r="O213" s="119">
        <f>I213-D213</f>
        <v>463.02919790126708</v>
      </c>
      <c r="P213" s="118">
        <f>SUM(O202:O213)+M213+N213</f>
        <v>7338.3070158664395</v>
      </c>
      <c r="Q213" s="118">
        <f>L213+M213+N213</f>
        <v>7338.3070158664405</v>
      </c>
      <c r="R213" s="122">
        <f>Q213/K213</f>
        <v>0.69886594789827827</v>
      </c>
    </row>
    <row r="214" spans="1:19" x14ac:dyDescent="0.2">
      <c r="B214" s="123">
        <v>51867</v>
      </c>
      <c r="C214" s="119">
        <f t="shared" si="50"/>
        <v>158411.24738786873</v>
      </c>
      <c r="D214" s="119">
        <f t="shared" si="60"/>
        <v>459.39261742481926</v>
      </c>
      <c r="E214" s="119">
        <f t="shared" ref="E214:E277" si="65">F214-D214</f>
        <v>891.60738257518074</v>
      </c>
      <c r="F214" s="119">
        <v>1351</v>
      </c>
      <c r="G214" s="120"/>
      <c r="H214" s="120"/>
      <c r="I214" s="119">
        <f t="shared" ref="I214:I222" si="66">I213</f>
        <v>925</v>
      </c>
      <c r="J214" s="120"/>
      <c r="K214" s="119"/>
      <c r="L214" s="119"/>
      <c r="M214" s="119"/>
      <c r="N214" s="119"/>
      <c r="O214" s="119">
        <f t="shared" ref="O214:O224" si="67">I214-D214</f>
        <v>465.60738257518074</v>
      </c>
      <c r="P214" s="119"/>
      <c r="Q214" s="120"/>
      <c r="R214" s="120"/>
    </row>
    <row r="215" spans="1:19" x14ac:dyDescent="0.2">
      <c r="B215" s="123">
        <v>51898</v>
      </c>
      <c r="C215" s="119">
        <f t="shared" si="50"/>
        <v>157519.64000529356</v>
      </c>
      <c r="D215" s="119">
        <f t="shared" si="60"/>
        <v>456.80695601535132</v>
      </c>
      <c r="E215" s="119">
        <f t="shared" si="65"/>
        <v>894.19304398464874</v>
      </c>
      <c r="F215" s="119">
        <v>1351</v>
      </c>
      <c r="G215" s="120"/>
      <c r="H215" s="120"/>
      <c r="I215" s="119">
        <f t="shared" si="66"/>
        <v>925</v>
      </c>
      <c r="J215" s="120"/>
      <c r="K215" s="119"/>
      <c r="L215" s="119"/>
      <c r="M215" s="119"/>
      <c r="N215" s="119"/>
      <c r="O215" s="119">
        <f t="shared" si="67"/>
        <v>468.19304398464868</v>
      </c>
      <c r="P215" s="119"/>
      <c r="Q215" s="120"/>
      <c r="R215" s="120"/>
    </row>
    <row r="216" spans="1:19" x14ac:dyDescent="0.2">
      <c r="B216" s="123">
        <v>51926</v>
      </c>
      <c r="C216" s="119">
        <f t="shared" si="50"/>
        <v>156625.44696130892</v>
      </c>
      <c r="D216" s="119">
        <f t="shared" si="60"/>
        <v>454.21379618779582</v>
      </c>
      <c r="E216" s="119">
        <f t="shared" si="65"/>
        <v>896.78620381220412</v>
      </c>
      <c r="F216" s="119">
        <v>1351</v>
      </c>
      <c r="G216" s="120"/>
      <c r="H216" s="120"/>
      <c r="I216" s="119">
        <f t="shared" si="66"/>
        <v>925</v>
      </c>
      <c r="J216" s="120"/>
      <c r="K216" s="119"/>
      <c r="L216" s="119"/>
      <c r="M216" s="119"/>
      <c r="N216" s="119"/>
      <c r="O216" s="119">
        <f t="shared" si="67"/>
        <v>470.78620381220418</v>
      </c>
      <c r="P216" s="119"/>
      <c r="Q216" s="120"/>
      <c r="R216" s="120"/>
      <c r="S216" s="61"/>
    </row>
    <row r="217" spans="1:19" x14ac:dyDescent="0.2">
      <c r="B217" s="123">
        <v>51957</v>
      </c>
      <c r="C217" s="119">
        <f t="shared" si="50"/>
        <v>155728.66075749672</v>
      </c>
      <c r="D217" s="119">
        <f t="shared" si="60"/>
        <v>451.61311619674046</v>
      </c>
      <c r="E217" s="119">
        <f t="shared" si="65"/>
        <v>899.38688380325948</v>
      </c>
      <c r="F217" s="119">
        <v>1351</v>
      </c>
      <c r="G217" s="120"/>
      <c r="H217" s="120"/>
      <c r="I217" s="119">
        <f t="shared" si="66"/>
        <v>925</v>
      </c>
      <c r="J217" s="120"/>
      <c r="K217" s="119"/>
      <c r="L217" s="119"/>
      <c r="M217" s="119"/>
      <c r="N217" s="119"/>
      <c r="O217" s="119">
        <f t="shared" si="67"/>
        <v>473.38688380325954</v>
      </c>
      <c r="P217" s="119"/>
      <c r="Q217" s="120"/>
      <c r="R217" s="120"/>
    </row>
    <row r="218" spans="1:19" x14ac:dyDescent="0.2">
      <c r="B218" s="123">
        <v>51987</v>
      </c>
      <c r="C218" s="119">
        <f t="shared" si="50"/>
        <v>154829.27387369346</v>
      </c>
      <c r="D218" s="119">
        <f t="shared" si="60"/>
        <v>449.00489423371096</v>
      </c>
      <c r="E218" s="119">
        <f t="shared" si="65"/>
        <v>901.99510576628904</v>
      </c>
      <c r="F218" s="119">
        <v>1351</v>
      </c>
      <c r="G218" s="120"/>
      <c r="H218" s="120"/>
      <c r="I218" s="119">
        <f t="shared" si="66"/>
        <v>925</v>
      </c>
      <c r="J218" s="120"/>
      <c r="K218" s="119"/>
      <c r="L218" s="119"/>
      <c r="M218" s="119"/>
      <c r="N218" s="119"/>
      <c r="O218" s="119">
        <f t="shared" si="67"/>
        <v>475.99510576628904</v>
      </c>
      <c r="P218" s="119"/>
      <c r="Q218" s="120"/>
      <c r="R218" s="120"/>
    </row>
    <row r="219" spans="1:19" x14ac:dyDescent="0.2">
      <c r="B219" s="123">
        <v>52018</v>
      </c>
      <c r="C219" s="119">
        <f t="shared" si="50"/>
        <v>153927.27876792717</v>
      </c>
      <c r="D219" s="119">
        <f t="shared" si="60"/>
        <v>446.38910842698874</v>
      </c>
      <c r="E219" s="119">
        <f t="shared" si="65"/>
        <v>904.61089157301126</v>
      </c>
      <c r="F219" s="119">
        <v>1351</v>
      </c>
      <c r="G219" s="120"/>
      <c r="H219" s="120"/>
      <c r="I219" s="119">
        <f t="shared" si="66"/>
        <v>925</v>
      </c>
      <c r="J219" s="120"/>
      <c r="K219" s="119"/>
      <c r="L219" s="119"/>
      <c r="M219" s="119"/>
      <c r="N219" s="119"/>
      <c r="O219" s="119">
        <f t="shared" si="67"/>
        <v>478.61089157301126</v>
      </c>
      <c r="P219" s="119"/>
      <c r="Q219" s="120"/>
      <c r="R219" s="120"/>
    </row>
    <row r="220" spans="1:19" x14ac:dyDescent="0.2">
      <c r="B220" s="123">
        <v>52048</v>
      </c>
      <c r="C220" s="119">
        <f t="shared" si="50"/>
        <v>153022.66787635416</v>
      </c>
      <c r="D220" s="119">
        <f t="shared" si="60"/>
        <v>443.76573684142704</v>
      </c>
      <c r="E220" s="119">
        <f t="shared" si="65"/>
        <v>907.23426315857296</v>
      </c>
      <c r="F220" s="119">
        <v>1351</v>
      </c>
      <c r="G220" s="120"/>
      <c r="H220" s="120"/>
      <c r="I220" s="119">
        <f t="shared" si="66"/>
        <v>925</v>
      </c>
      <c r="J220" s="120"/>
      <c r="K220" s="119"/>
      <c r="L220" s="119"/>
      <c r="M220" s="119"/>
      <c r="N220" s="119"/>
      <c r="O220" s="119">
        <f t="shared" si="67"/>
        <v>481.23426315857296</v>
      </c>
      <c r="P220" s="119"/>
      <c r="Q220" s="120"/>
      <c r="R220" s="120"/>
    </row>
    <row r="221" spans="1:19" x14ac:dyDescent="0.2">
      <c r="B221" s="123">
        <v>52079</v>
      </c>
      <c r="C221" s="119">
        <f t="shared" si="50"/>
        <v>152115.43361319558</v>
      </c>
      <c r="D221" s="119">
        <f t="shared" si="60"/>
        <v>441.13475747826715</v>
      </c>
      <c r="E221" s="119">
        <f t="shared" si="65"/>
        <v>909.86524252173285</v>
      </c>
      <c r="F221" s="119">
        <v>1351</v>
      </c>
      <c r="G221" s="120"/>
      <c r="H221" s="120"/>
      <c r="I221" s="119">
        <f t="shared" si="66"/>
        <v>925</v>
      </c>
      <c r="J221" s="120"/>
      <c r="K221" s="119"/>
      <c r="L221" s="119"/>
      <c r="M221" s="119"/>
      <c r="N221" s="119"/>
      <c r="O221" s="119">
        <f t="shared" si="67"/>
        <v>483.86524252173285</v>
      </c>
      <c r="P221" s="119"/>
      <c r="Q221" s="120"/>
      <c r="R221" s="120"/>
    </row>
    <row r="222" spans="1:19" x14ac:dyDescent="0.2">
      <c r="B222" s="123">
        <v>52110</v>
      </c>
      <c r="C222" s="119">
        <f t="shared" si="50"/>
        <v>151205.56837067383</v>
      </c>
      <c r="D222" s="119">
        <f t="shared" si="60"/>
        <v>438.49614827495407</v>
      </c>
      <c r="E222" s="119">
        <f t="shared" si="65"/>
        <v>912.50385172504593</v>
      </c>
      <c r="F222" s="119">
        <v>1351</v>
      </c>
      <c r="G222" s="120"/>
      <c r="H222" s="120"/>
      <c r="I222" s="119">
        <f t="shared" si="66"/>
        <v>925</v>
      </c>
      <c r="J222" s="120"/>
      <c r="K222" s="119"/>
      <c r="L222" s="119"/>
      <c r="M222" s="119"/>
      <c r="N222" s="119"/>
      <c r="O222" s="119">
        <f t="shared" si="67"/>
        <v>486.50385172504593</v>
      </c>
      <c r="P222" s="119"/>
      <c r="Q222" s="120"/>
      <c r="R222" s="120"/>
    </row>
    <row r="223" spans="1:19" x14ac:dyDescent="0.2">
      <c r="B223" s="123">
        <v>52140</v>
      </c>
      <c r="C223" s="119">
        <f t="shared" si="50"/>
        <v>150293.06451894878</v>
      </c>
      <c r="D223" s="119">
        <f t="shared" si="60"/>
        <v>435.84988710495145</v>
      </c>
      <c r="E223" s="119">
        <f t="shared" si="65"/>
        <v>915.15011289504855</v>
      </c>
      <c r="F223" s="119">
        <v>1351</v>
      </c>
      <c r="G223" s="120"/>
      <c r="H223" s="120"/>
      <c r="I223" s="119">
        <f t="shared" ref="I223" si="68">I221</f>
        <v>925</v>
      </c>
      <c r="J223" s="120"/>
      <c r="K223" s="119"/>
      <c r="L223" s="119"/>
      <c r="M223" s="119"/>
      <c r="N223" s="119"/>
      <c r="O223" s="125">
        <f t="shared" si="67"/>
        <v>489.15011289504855</v>
      </c>
      <c r="P223" s="119"/>
      <c r="Q223" s="120"/>
      <c r="R223" s="120"/>
    </row>
    <row r="224" spans="1:19" x14ac:dyDescent="0.2">
      <c r="B224" s="123">
        <v>52171</v>
      </c>
      <c r="C224" s="119">
        <f t="shared" ref="C224:C287" si="69">C223-E223</f>
        <v>149377.91440605372</v>
      </c>
      <c r="D224" s="119">
        <f t="shared" si="60"/>
        <v>433.19595177755576</v>
      </c>
      <c r="E224" s="119">
        <f t="shared" si="65"/>
        <v>917.80404822244418</v>
      </c>
      <c r="F224" s="119">
        <v>1351</v>
      </c>
      <c r="G224" s="120"/>
      <c r="H224" s="120"/>
      <c r="I224" s="119">
        <f>I223</f>
        <v>925</v>
      </c>
      <c r="J224" s="120"/>
      <c r="K224" s="119"/>
      <c r="L224" s="119"/>
      <c r="M224" s="119"/>
      <c r="N224" s="119"/>
      <c r="O224" s="125">
        <f t="shared" si="67"/>
        <v>491.80404822244424</v>
      </c>
      <c r="P224" s="119"/>
      <c r="Q224" s="120"/>
      <c r="R224" s="120"/>
    </row>
    <row r="225" spans="1:18" x14ac:dyDescent="0.2">
      <c r="A225">
        <v>17</v>
      </c>
      <c r="B225" s="123">
        <v>52201</v>
      </c>
      <c r="C225" s="119">
        <f t="shared" si="69"/>
        <v>148460.11035783129</v>
      </c>
      <c r="D225" s="119">
        <f t="shared" si="60"/>
        <v>430.53432003771076</v>
      </c>
      <c r="E225" s="119">
        <f t="shared" si="65"/>
        <v>920.46567996228919</v>
      </c>
      <c r="F225" s="119">
        <v>1351</v>
      </c>
      <c r="G225" s="120"/>
      <c r="H225" s="120"/>
      <c r="I225" s="118">
        <v>925</v>
      </c>
      <c r="J225" s="118">
        <f>(I225/$J$2)/0.66</f>
        <v>17.518939393939394</v>
      </c>
      <c r="K225" s="118">
        <f>SUM(E214:E225)</f>
        <v>10871.602709999728</v>
      </c>
      <c r="L225" s="118">
        <f>SUM(I214:I225)-SUM(D214:D225)</f>
        <v>5759.6027099997264</v>
      </c>
      <c r="M225" s="118"/>
      <c r="N225" s="118">
        <v>2500</v>
      </c>
      <c r="O225" s="119">
        <f>I225-D225</f>
        <v>494.46567996228924</v>
      </c>
      <c r="P225" s="118">
        <f>SUM(O214:O225)+M225+N225</f>
        <v>8259.6027099997264</v>
      </c>
      <c r="Q225" s="118">
        <f>L225+M225+N225</f>
        <v>8259.6027099997264</v>
      </c>
      <c r="R225" s="122"/>
    </row>
    <row r="226" spans="1:18" x14ac:dyDescent="0.2">
      <c r="B226" s="123">
        <v>52232</v>
      </c>
      <c r="C226" s="119">
        <f t="shared" si="69"/>
        <v>147539.64467786902</v>
      </c>
      <c r="D226" s="119">
        <f t="shared" si="60"/>
        <v>427.8649695658201</v>
      </c>
      <c r="E226" s="119">
        <f t="shared" si="65"/>
        <v>923.13503043417995</v>
      </c>
      <c r="F226" s="119">
        <v>1351</v>
      </c>
      <c r="G226" s="120"/>
      <c r="H226" s="120"/>
      <c r="I226" s="119">
        <f t="shared" ref="I226:I234" si="70">I225</f>
        <v>925</v>
      </c>
      <c r="J226" s="120"/>
      <c r="K226" s="119"/>
      <c r="L226" s="119"/>
      <c r="M226" s="119"/>
      <c r="N226" s="119"/>
      <c r="O226" s="119">
        <f t="shared" ref="O226:O236" si="71">I226-D226</f>
        <v>497.1350304341799</v>
      </c>
      <c r="P226" s="119"/>
      <c r="Q226" s="120"/>
    </row>
    <row r="227" spans="1:18" x14ac:dyDescent="0.2">
      <c r="B227" s="123">
        <v>52263</v>
      </c>
      <c r="C227" s="119">
        <f t="shared" si="69"/>
        <v>146616.50964743484</v>
      </c>
      <c r="D227" s="119">
        <f t="shared" si="60"/>
        <v>425.18787797756096</v>
      </c>
      <c r="E227" s="119">
        <f t="shared" si="65"/>
        <v>925.8121220224391</v>
      </c>
      <c r="F227" s="119">
        <v>1351</v>
      </c>
      <c r="G227" s="120"/>
      <c r="H227" s="120"/>
      <c r="I227" s="119">
        <f t="shared" si="70"/>
        <v>925</v>
      </c>
      <c r="J227" s="120"/>
      <c r="K227" s="119"/>
      <c r="L227" s="119"/>
      <c r="M227" s="119"/>
      <c r="N227" s="119"/>
      <c r="O227" s="119">
        <f t="shared" si="71"/>
        <v>499.81212202243904</v>
      </c>
      <c r="P227" s="119"/>
      <c r="Q227" s="120"/>
    </row>
    <row r="228" spans="1:18" x14ac:dyDescent="0.2">
      <c r="B228" s="123">
        <v>52291</v>
      </c>
      <c r="C228" s="119">
        <f t="shared" si="69"/>
        <v>145690.6975254124</v>
      </c>
      <c r="D228" s="119">
        <f t="shared" si="60"/>
        <v>422.50302282369597</v>
      </c>
      <c r="E228" s="119">
        <f t="shared" si="65"/>
        <v>928.49697717630397</v>
      </c>
      <c r="F228" s="119">
        <v>1351</v>
      </c>
      <c r="G228" s="120"/>
      <c r="H228" s="120"/>
      <c r="I228" s="119">
        <f t="shared" si="70"/>
        <v>925</v>
      </c>
      <c r="J228" s="120"/>
      <c r="K228" s="119"/>
      <c r="L228" s="119"/>
      <c r="M228" s="119"/>
      <c r="N228" s="119"/>
      <c r="O228" s="119">
        <f t="shared" si="71"/>
        <v>502.49697717630403</v>
      </c>
      <c r="P228" s="119"/>
      <c r="Q228" s="120"/>
    </row>
    <row r="229" spans="1:18" x14ac:dyDescent="0.2">
      <c r="B229" s="123">
        <v>52322</v>
      </c>
      <c r="C229" s="119">
        <f t="shared" si="69"/>
        <v>144762.20054823608</v>
      </c>
      <c r="D229" s="119">
        <f t="shared" si="60"/>
        <v>419.81038158988463</v>
      </c>
      <c r="E229" s="119">
        <f t="shared" si="65"/>
        <v>931.18961841011537</v>
      </c>
      <c r="F229" s="119">
        <v>1351</v>
      </c>
      <c r="G229" s="120"/>
      <c r="H229" s="120"/>
      <c r="I229" s="119">
        <f t="shared" si="70"/>
        <v>925</v>
      </c>
      <c r="J229" s="120"/>
      <c r="K229" s="119"/>
      <c r="L229" s="119"/>
      <c r="M229" s="119"/>
      <c r="N229" s="119"/>
      <c r="O229" s="119">
        <f t="shared" si="71"/>
        <v>505.18961841011537</v>
      </c>
      <c r="P229" s="119"/>
      <c r="Q229" s="120"/>
    </row>
    <row r="230" spans="1:18" x14ac:dyDescent="0.2">
      <c r="B230" s="123">
        <v>52352</v>
      </c>
      <c r="C230" s="119">
        <f t="shared" si="69"/>
        <v>143831.01092982598</v>
      </c>
      <c r="D230" s="119">
        <f t="shared" si="60"/>
        <v>417.10993169649532</v>
      </c>
      <c r="E230" s="119">
        <f t="shared" si="65"/>
        <v>933.89006830350468</v>
      </c>
      <c r="F230" s="119">
        <v>1351</v>
      </c>
      <c r="G230" s="120"/>
      <c r="H230" s="120"/>
      <c r="I230" s="119">
        <f t="shared" si="70"/>
        <v>925</v>
      </c>
      <c r="J230" s="120"/>
      <c r="K230" s="119"/>
      <c r="L230" s="119"/>
      <c r="M230" s="119"/>
      <c r="N230" s="119"/>
      <c r="O230" s="119">
        <f t="shared" si="71"/>
        <v>507.89006830350468</v>
      </c>
      <c r="P230" s="119"/>
      <c r="Q230" s="120"/>
    </row>
    <row r="231" spans="1:18" x14ac:dyDescent="0.2">
      <c r="B231" s="123">
        <v>52383</v>
      </c>
      <c r="C231" s="119">
        <f t="shared" si="69"/>
        <v>142897.12086152248</v>
      </c>
      <c r="D231" s="119">
        <f t="shared" si="60"/>
        <v>414.40165049841517</v>
      </c>
      <c r="E231" s="119">
        <f t="shared" si="65"/>
        <v>936.59834950158483</v>
      </c>
      <c r="F231" s="119">
        <v>1351</v>
      </c>
      <c r="G231" s="120"/>
      <c r="H231" s="120"/>
      <c r="I231" s="119">
        <f t="shared" si="70"/>
        <v>925</v>
      </c>
      <c r="J231" s="120"/>
      <c r="K231" s="119"/>
      <c r="L231" s="119"/>
      <c r="M231" s="119"/>
      <c r="N231" s="119"/>
      <c r="O231" s="119">
        <f t="shared" si="71"/>
        <v>510.59834950158483</v>
      </c>
      <c r="P231" s="119"/>
      <c r="Q231" s="120"/>
    </row>
    <row r="232" spans="1:18" x14ac:dyDescent="0.2">
      <c r="B232" s="123">
        <v>52413</v>
      </c>
      <c r="C232" s="119">
        <f t="shared" si="69"/>
        <v>141960.52251202089</v>
      </c>
      <c r="D232" s="119">
        <f t="shared" si="60"/>
        <v>411.68551528486051</v>
      </c>
      <c r="E232" s="119">
        <f t="shared" si="65"/>
        <v>939.31448471513954</v>
      </c>
      <c r="F232" s="119">
        <v>1351</v>
      </c>
      <c r="G232" s="120"/>
      <c r="H232" s="120"/>
      <c r="I232" s="119">
        <f t="shared" si="70"/>
        <v>925</v>
      </c>
      <c r="J232" s="120"/>
      <c r="K232" s="119"/>
      <c r="L232" s="119"/>
      <c r="M232" s="119"/>
      <c r="N232" s="119"/>
      <c r="O232" s="119">
        <f t="shared" si="71"/>
        <v>513.31448471513954</v>
      </c>
      <c r="P232" s="119"/>
      <c r="Q232" s="120"/>
    </row>
    <row r="233" spans="1:18" x14ac:dyDescent="0.2">
      <c r="B233" s="123">
        <v>52444</v>
      </c>
      <c r="C233" s="119">
        <f t="shared" si="69"/>
        <v>141021.20802730575</v>
      </c>
      <c r="D233" s="119">
        <f t="shared" si="60"/>
        <v>408.96150327918667</v>
      </c>
      <c r="E233" s="119">
        <f t="shared" si="65"/>
        <v>942.03849672081333</v>
      </c>
      <c r="F233" s="119">
        <v>1351</v>
      </c>
      <c r="G233" s="120"/>
      <c r="H233" s="120"/>
      <c r="I233" s="119">
        <f t="shared" si="70"/>
        <v>925</v>
      </c>
      <c r="J233" s="120"/>
      <c r="K233" s="119"/>
      <c r="L233" s="119"/>
      <c r="M233" s="119"/>
      <c r="N233" s="119"/>
      <c r="O233" s="119">
        <f t="shared" si="71"/>
        <v>516.03849672081333</v>
      </c>
      <c r="P233" s="119"/>
      <c r="Q233" s="120"/>
    </row>
    <row r="234" spans="1:18" x14ac:dyDescent="0.2">
      <c r="B234" s="123">
        <v>52475</v>
      </c>
      <c r="C234" s="119">
        <f t="shared" si="69"/>
        <v>140079.16953058494</v>
      </c>
      <c r="D234" s="119">
        <f t="shared" si="60"/>
        <v>406.22959163869632</v>
      </c>
      <c r="E234" s="119">
        <f t="shared" si="65"/>
        <v>944.77040836130368</v>
      </c>
      <c r="F234" s="119">
        <v>1351</v>
      </c>
      <c r="G234" s="120"/>
      <c r="H234" s="120"/>
      <c r="I234" s="119">
        <f t="shared" si="70"/>
        <v>925</v>
      </c>
      <c r="J234" s="120"/>
      <c r="K234" s="119"/>
      <c r="L234" s="119"/>
      <c r="M234" s="119"/>
      <c r="N234" s="119"/>
      <c r="O234" s="119">
        <f t="shared" si="71"/>
        <v>518.77040836130368</v>
      </c>
      <c r="P234" s="119"/>
      <c r="Q234" s="120"/>
    </row>
    <row r="235" spans="1:18" x14ac:dyDescent="0.2">
      <c r="B235" s="123">
        <v>52505</v>
      </c>
      <c r="C235" s="119">
        <f t="shared" si="69"/>
        <v>139134.39912222364</v>
      </c>
      <c r="D235" s="119">
        <f t="shared" si="60"/>
        <v>403.48975745444847</v>
      </c>
      <c r="E235" s="119">
        <f t="shared" si="65"/>
        <v>947.51024254555159</v>
      </c>
      <c r="F235" s="119">
        <v>1351</v>
      </c>
      <c r="G235" s="120"/>
      <c r="H235" s="120"/>
      <c r="I235" s="119">
        <f t="shared" ref="I235" si="72">I233</f>
        <v>925</v>
      </c>
      <c r="J235" s="120"/>
      <c r="K235" s="119"/>
      <c r="L235" s="119"/>
      <c r="M235" s="119"/>
      <c r="N235" s="119"/>
      <c r="O235" s="125">
        <f t="shared" si="71"/>
        <v>521.51024254555159</v>
      </c>
      <c r="P235" s="119"/>
      <c r="Q235" s="120"/>
    </row>
    <row r="236" spans="1:18" x14ac:dyDescent="0.2">
      <c r="B236" s="123">
        <v>52536</v>
      </c>
      <c r="C236" s="119">
        <f t="shared" si="69"/>
        <v>138186.8888796781</v>
      </c>
      <c r="D236" s="119">
        <f t="shared" si="60"/>
        <v>400.74197775106649</v>
      </c>
      <c r="E236" s="119">
        <f t="shared" si="65"/>
        <v>950.25802224893346</v>
      </c>
      <c r="F236" s="119">
        <v>1351</v>
      </c>
      <c r="G236" s="120"/>
      <c r="H236" s="120"/>
      <c r="I236" s="119">
        <f>I235</f>
        <v>925</v>
      </c>
      <c r="J236" s="120"/>
      <c r="K236" s="119"/>
      <c r="L236" s="119"/>
      <c r="M236" s="119"/>
      <c r="N236" s="119"/>
      <c r="O236" s="125">
        <f t="shared" si="71"/>
        <v>524.25802224893346</v>
      </c>
      <c r="P236" s="119"/>
      <c r="Q236" s="120"/>
    </row>
    <row r="237" spans="1:18" x14ac:dyDescent="0.2">
      <c r="A237">
        <v>18</v>
      </c>
      <c r="B237" s="123">
        <v>52566</v>
      </c>
      <c r="C237" s="119">
        <f t="shared" si="69"/>
        <v>137236.63085742918</v>
      </c>
      <c r="D237" s="119">
        <f t="shared" si="60"/>
        <v>397.98622948654457</v>
      </c>
      <c r="E237" s="119">
        <f t="shared" si="65"/>
        <v>953.01377051345548</v>
      </c>
      <c r="F237" s="119">
        <v>1351</v>
      </c>
      <c r="G237" s="120"/>
      <c r="H237" s="120"/>
      <c r="I237" s="118">
        <v>925</v>
      </c>
      <c r="J237" s="118">
        <f>(I237/$J$2)/0.66</f>
        <v>17.518939393939394</v>
      </c>
      <c r="K237" s="118">
        <f>SUM(E226:E237)</f>
        <v>11256.027590953327</v>
      </c>
      <c r="L237" s="118">
        <f>SUM(I226:I237)-SUM(D226:D237)</f>
        <v>6144.0275909533248</v>
      </c>
      <c r="M237" s="118"/>
      <c r="N237" s="118">
        <v>2500</v>
      </c>
      <c r="O237" s="119">
        <f>I237-D237</f>
        <v>527.01377051345548</v>
      </c>
      <c r="P237" s="118">
        <f>SUM(O226:O237)+M237+N237</f>
        <v>8644.0275909533248</v>
      </c>
      <c r="Q237" s="118">
        <f>L237+M237+N237</f>
        <v>8644.0275909533248</v>
      </c>
    </row>
    <row r="238" spans="1:18" x14ac:dyDescent="0.2">
      <c r="B238" s="123">
        <v>52597</v>
      </c>
      <c r="C238" s="119">
        <f t="shared" si="69"/>
        <v>136283.61708691571</v>
      </c>
      <c r="D238" s="119">
        <f t="shared" si="60"/>
        <v>395.22248955205555</v>
      </c>
      <c r="E238" s="119">
        <f t="shared" si="65"/>
        <v>955.77751044794445</v>
      </c>
      <c r="F238" s="119">
        <v>1351</v>
      </c>
      <c r="G238" s="120"/>
      <c r="H238" s="120"/>
      <c r="I238" s="119">
        <f t="shared" ref="I238:I246" si="73">I237</f>
        <v>925</v>
      </c>
      <c r="J238" s="120"/>
      <c r="K238" s="119"/>
      <c r="L238" s="119"/>
      <c r="M238" s="119"/>
      <c r="N238" s="119"/>
      <c r="O238" s="119">
        <f t="shared" ref="O238:O248" si="74">I238-D238</f>
        <v>529.77751044794445</v>
      </c>
      <c r="P238" s="119"/>
      <c r="Q238" s="120"/>
    </row>
    <row r="239" spans="1:18" x14ac:dyDescent="0.2">
      <c r="B239" s="123">
        <v>52628</v>
      </c>
      <c r="C239" s="119">
        <f t="shared" si="69"/>
        <v>135327.83957646776</v>
      </c>
      <c r="D239" s="119">
        <f t="shared" si="60"/>
        <v>392.45073477175646</v>
      </c>
      <c r="E239" s="119">
        <f t="shared" si="65"/>
        <v>958.54926522824348</v>
      </c>
      <c r="F239" s="119">
        <v>1351</v>
      </c>
      <c r="G239" s="120"/>
      <c r="H239" s="120"/>
      <c r="I239" s="119">
        <f t="shared" si="73"/>
        <v>925</v>
      </c>
      <c r="J239" s="120"/>
      <c r="K239" s="119"/>
      <c r="L239" s="119"/>
      <c r="M239" s="119"/>
      <c r="N239" s="119"/>
      <c r="O239" s="119">
        <f t="shared" si="74"/>
        <v>532.54926522824348</v>
      </c>
      <c r="P239" s="119"/>
      <c r="Q239" s="120"/>
    </row>
    <row r="240" spans="1:18" x14ac:dyDescent="0.2">
      <c r="B240" s="123">
        <v>52657</v>
      </c>
      <c r="C240" s="119">
        <f t="shared" si="69"/>
        <v>134369.29031123951</v>
      </c>
      <c r="D240" s="119">
        <f t="shared" si="60"/>
        <v>389.67094190259462</v>
      </c>
      <c r="E240" s="119">
        <f t="shared" si="65"/>
        <v>961.32905809740532</v>
      </c>
      <c r="F240" s="119">
        <v>1351</v>
      </c>
      <c r="G240" s="120"/>
      <c r="H240" s="120"/>
      <c r="I240" s="119">
        <f t="shared" si="73"/>
        <v>925</v>
      </c>
      <c r="J240" s="120"/>
      <c r="K240" s="119"/>
      <c r="L240" s="119"/>
      <c r="M240" s="119"/>
      <c r="N240" s="119"/>
      <c r="O240" s="119">
        <f t="shared" si="74"/>
        <v>535.32905809740532</v>
      </c>
      <c r="P240" s="119"/>
      <c r="Q240" s="120"/>
    </row>
    <row r="241" spans="1:17" x14ac:dyDescent="0.2">
      <c r="B241" s="123">
        <v>52688</v>
      </c>
      <c r="C241" s="119">
        <f t="shared" si="69"/>
        <v>133407.9612531421</v>
      </c>
      <c r="D241" s="119">
        <f t="shared" si="60"/>
        <v>386.88308763411209</v>
      </c>
      <c r="E241" s="119">
        <f t="shared" si="65"/>
        <v>964.11691236588786</v>
      </c>
      <c r="F241" s="119">
        <v>1351</v>
      </c>
      <c r="G241" s="120"/>
      <c r="H241" s="120"/>
      <c r="I241" s="119">
        <f t="shared" si="73"/>
        <v>925</v>
      </c>
      <c r="J241" s="120"/>
      <c r="K241" s="119"/>
      <c r="L241" s="119"/>
      <c r="M241" s="119"/>
      <c r="N241" s="119"/>
      <c r="O241" s="119">
        <f t="shared" si="74"/>
        <v>538.11691236588786</v>
      </c>
      <c r="P241" s="119"/>
      <c r="Q241" s="120"/>
    </row>
    <row r="242" spans="1:17" x14ac:dyDescent="0.2">
      <c r="B242" s="123">
        <v>52718</v>
      </c>
      <c r="C242" s="119">
        <f t="shared" si="69"/>
        <v>132443.84434077621</v>
      </c>
      <c r="D242" s="119">
        <f t="shared" si="60"/>
        <v>384.08714858825101</v>
      </c>
      <c r="E242" s="119">
        <f t="shared" si="65"/>
        <v>966.91285141174899</v>
      </c>
      <c r="F242" s="119">
        <v>1351</v>
      </c>
      <c r="G242" s="120"/>
      <c r="H242" s="120"/>
      <c r="I242" s="119">
        <f t="shared" si="73"/>
        <v>925</v>
      </c>
      <c r="J242" s="120"/>
      <c r="K242" s="119"/>
      <c r="L242" s="119"/>
      <c r="M242" s="119"/>
      <c r="N242" s="119"/>
      <c r="O242" s="119">
        <f t="shared" si="74"/>
        <v>540.91285141174899</v>
      </c>
      <c r="P242" s="119"/>
      <c r="Q242" s="120"/>
    </row>
    <row r="243" spans="1:17" x14ac:dyDescent="0.2">
      <c r="B243" s="123">
        <v>52749</v>
      </c>
      <c r="C243" s="119">
        <f t="shared" si="69"/>
        <v>131476.93148936445</v>
      </c>
      <c r="D243" s="119">
        <f t="shared" si="60"/>
        <v>381.28310131915686</v>
      </c>
      <c r="E243" s="119">
        <f t="shared" si="65"/>
        <v>969.71689868084309</v>
      </c>
      <c r="F243" s="119">
        <v>1351</v>
      </c>
      <c r="G243" s="120"/>
      <c r="H243" s="120"/>
      <c r="I243" s="119">
        <f t="shared" si="73"/>
        <v>925</v>
      </c>
      <c r="J243" s="120"/>
      <c r="K243" s="119"/>
      <c r="L243" s="119"/>
      <c r="M243" s="119"/>
      <c r="N243" s="119"/>
      <c r="O243" s="119">
        <f t="shared" si="74"/>
        <v>543.71689868084309</v>
      </c>
      <c r="P243" s="119"/>
      <c r="Q243" s="120"/>
    </row>
    <row r="244" spans="1:17" x14ac:dyDescent="0.2">
      <c r="B244" s="123">
        <v>52779</v>
      </c>
      <c r="C244" s="119">
        <f t="shared" si="69"/>
        <v>130507.21459068361</v>
      </c>
      <c r="D244" s="119">
        <f t="shared" si="60"/>
        <v>378.4709223129824</v>
      </c>
      <c r="E244" s="119">
        <f t="shared" si="65"/>
        <v>972.52907768701766</v>
      </c>
      <c r="F244" s="119">
        <v>1351</v>
      </c>
      <c r="G244" s="120"/>
      <c r="H244" s="120"/>
      <c r="I244" s="119">
        <f t="shared" si="73"/>
        <v>925</v>
      </c>
      <c r="J244" s="120"/>
      <c r="K244" s="119"/>
      <c r="L244" s="119"/>
      <c r="M244" s="119"/>
      <c r="N244" s="119"/>
      <c r="O244" s="119">
        <f t="shared" si="74"/>
        <v>546.52907768701766</v>
      </c>
      <c r="P244" s="119"/>
      <c r="Q244" s="120"/>
    </row>
    <row r="245" spans="1:17" x14ac:dyDescent="0.2">
      <c r="B245" s="123">
        <v>52810</v>
      </c>
      <c r="C245" s="119">
        <f t="shared" si="69"/>
        <v>129534.68551299658</v>
      </c>
      <c r="D245" s="119">
        <f t="shared" si="60"/>
        <v>375.65058798769002</v>
      </c>
      <c r="E245" s="119">
        <f t="shared" si="65"/>
        <v>975.34941201231004</v>
      </c>
      <c r="F245" s="119">
        <v>1351</v>
      </c>
      <c r="G245" s="120"/>
      <c r="H245" s="120"/>
      <c r="I245" s="119">
        <f t="shared" si="73"/>
        <v>925</v>
      </c>
      <c r="J245" s="120"/>
      <c r="K245" s="119"/>
      <c r="L245" s="119"/>
      <c r="M245" s="119"/>
      <c r="N245" s="119"/>
      <c r="O245" s="119">
        <f t="shared" si="74"/>
        <v>549.34941201231004</v>
      </c>
      <c r="P245" s="119"/>
      <c r="Q245" s="120"/>
    </row>
    <row r="246" spans="1:17" x14ac:dyDescent="0.2">
      <c r="B246" s="123">
        <v>52841</v>
      </c>
      <c r="C246" s="119">
        <f t="shared" si="69"/>
        <v>128559.33610098428</v>
      </c>
      <c r="D246" s="119">
        <f t="shared" si="60"/>
        <v>372.82207469285436</v>
      </c>
      <c r="E246" s="119">
        <f t="shared" si="65"/>
        <v>978.17792530714564</v>
      </c>
      <c r="F246" s="119">
        <v>1351</v>
      </c>
      <c r="G246" s="120"/>
      <c r="H246" s="120"/>
      <c r="I246" s="119">
        <f t="shared" si="73"/>
        <v>925</v>
      </c>
      <c r="J246" s="120"/>
      <c r="K246" s="119"/>
      <c r="L246" s="119"/>
      <c r="M246" s="119"/>
      <c r="N246" s="119"/>
      <c r="O246" s="119">
        <f t="shared" si="74"/>
        <v>552.17792530714564</v>
      </c>
      <c r="P246" s="119"/>
      <c r="Q246" s="120"/>
    </row>
    <row r="247" spans="1:17" x14ac:dyDescent="0.2">
      <c r="B247" s="123">
        <v>52871</v>
      </c>
      <c r="C247" s="119">
        <f t="shared" si="69"/>
        <v>127581.15817567713</v>
      </c>
      <c r="D247" s="119">
        <f t="shared" si="60"/>
        <v>369.9853587094637</v>
      </c>
      <c r="E247" s="119">
        <f t="shared" si="65"/>
        <v>981.01464129053625</v>
      </c>
      <c r="F247" s="119">
        <v>1351</v>
      </c>
      <c r="G247" s="120"/>
      <c r="H247" s="120"/>
      <c r="I247" s="119">
        <f t="shared" ref="I247" si="75">I245</f>
        <v>925</v>
      </c>
      <c r="J247" s="120"/>
      <c r="K247" s="119"/>
      <c r="L247" s="119"/>
      <c r="M247" s="119"/>
      <c r="N247" s="119"/>
      <c r="O247" s="125">
        <f t="shared" si="74"/>
        <v>555.01464129053625</v>
      </c>
      <c r="P247" s="119"/>
      <c r="Q247" s="120"/>
    </row>
    <row r="248" spans="1:17" x14ac:dyDescent="0.2">
      <c r="B248" s="123">
        <v>52902</v>
      </c>
      <c r="C248" s="119">
        <f t="shared" si="69"/>
        <v>126600.1435343866</v>
      </c>
      <c r="D248" s="119">
        <f t="shared" si="60"/>
        <v>367.14041624972111</v>
      </c>
      <c r="E248" s="119">
        <f t="shared" si="65"/>
        <v>983.85958375027894</v>
      </c>
      <c r="F248" s="119">
        <v>1351</v>
      </c>
      <c r="G248" s="120"/>
      <c r="H248" s="120"/>
      <c r="I248" s="119">
        <f>I247</f>
        <v>925</v>
      </c>
      <c r="J248" s="120"/>
      <c r="K248" s="119"/>
      <c r="L248" s="119"/>
      <c r="M248" s="119"/>
      <c r="N248" s="119"/>
      <c r="O248" s="125">
        <f t="shared" si="74"/>
        <v>557.85958375027894</v>
      </c>
      <c r="P248" s="119"/>
      <c r="Q248" s="120"/>
    </row>
    <row r="249" spans="1:17" x14ac:dyDescent="0.2">
      <c r="A249">
        <v>19</v>
      </c>
      <c r="B249" s="123">
        <v>52932</v>
      </c>
      <c r="C249" s="119">
        <f t="shared" si="69"/>
        <v>125616.28395063632</v>
      </c>
      <c r="D249" s="119">
        <f t="shared" si="60"/>
        <v>364.28722345684531</v>
      </c>
      <c r="E249" s="119">
        <f t="shared" si="65"/>
        <v>986.71277654315463</v>
      </c>
      <c r="F249" s="119">
        <v>1351</v>
      </c>
      <c r="G249" s="120"/>
      <c r="H249" s="120"/>
      <c r="I249" s="118">
        <v>925</v>
      </c>
      <c r="J249" s="118">
        <f>(I249/$J$2)/0.66</f>
        <v>17.518939393939394</v>
      </c>
      <c r="K249" s="118">
        <f>SUM(E238:E249)</f>
        <v>11654.045912822516</v>
      </c>
      <c r="L249" s="118">
        <f>SUM(I238:I249)-SUM(D238:D249)</f>
        <v>6542.0459128225166</v>
      </c>
      <c r="M249" s="118"/>
      <c r="N249" s="118">
        <v>2500</v>
      </c>
      <c r="O249" s="119">
        <f>I249-D249</f>
        <v>560.71277654315463</v>
      </c>
      <c r="P249" s="118">
        <f>SUM(O238:O249)+M249+N249</f>
        <v>9042.0459128225157</v>
      </c>
      <c r="Q249" s="118">
        <f>L249+M249+N249</f>
        <v>9042.0459128225157</v>
      </c>
    </row>
    <row r="250" spans="1:17" x14ac:dyDescent="0.2">
      <c r="B250" s="123">
        <v>52963</v>
      </c>
      <c r="C250" s="119">
        <f t="shared" si="69"/>
        <v>124629.57117409317</v>
      </c>
      <c r="D250" s="119">
        <f t="shared" si="60"/>
        <v>361.42575640487013</v>
      </c>
      <c r="E250" s="119">
        <f t="shared" si="65"/>
        <v>989.57424359512993</v>
      </c>
      <c r="F250" s="119">
        <v>1351</v>
      </c>
      <c r="G250" s="120"/>
      <c r="H250" s="120"/>
      <c r="I250" s="119">
        <f t="shared" ref="I250:I258" si="76">I249</f>
        <v>925</v>
      </c>
      <c r="J250" s="120"/>
      <c r="K250" s="119"/>
      <c r="L250" s="119"/>
      <c r="M250" s="119"/>
      <c r="N250" s="119"/>
      <c r="O250" s="119">
        <f t="shared" ref="O250:O260" si="77">I250-D250</f>
        <v>563.57424359512993</v>
      </c>
      <c r="P250" s="119"/>
      <c r="Q250" s="120"/>
    </row>
    <row r="251" spans="1:17" x14ac:dyDescent="0.2">
      <c r="B251" s="123">
        <v>52994</v>
      </c>
      <c r="C251" s="119">
        <f t="shared" si="69"/>
        <v>123639.99693049805</v>
      </c>
      <c r="D251" s="119">
        <f t="shared" si="60"/>
        <v>358.55599109844434</v>
      </c>
      <c r="E251" s="119">
        <f t="shared" si="65"/>
        <v>992.44400890155566</v>
      </c>
      <c r="F251" s="119">
        <v>1351</v>
      </c>
      <c r="G251" s="120"/>
      <c r="H251" s="120"/>
      <c r="I251" s="119">
        <f t="shared" si="76"/>
        <v>925</v>
      </c>
      <c r="J251" s="120"/>
      <c r="K251" s="119"/>
      <c r="L251" s="119"/>
      <c r="M251" s="119"/>
      <c r="N251" s="119"/>
      <c r="O251" s="119">
        <f t="shared" si="77"/>
        <v>566.44400890155566</v>
      </c>
      <c r="P251" s="119"/>
      <c r="Q251" s="120"/>
    </row>
    <row r="252" spans="1:17" x14ac:dyDescent="0.2">
      <c r="B252" s="123">
        <v>53022</v>
      </c>
      <c r="C252" s="119">
        <f t="shared" si="69"/>
        <v>122647.55292159649</v>
      </c>
      <c r="D252" s="119">
        <f t="shared" si="60"/>
        <v>355.67790347262979</v>
      </c>
      <c r="E252" s="119">
        <f t="shared" si="65"/>
        <v>995.32209652737015</v>
      </c>
      <c r="F252" s="119">
        <v>1351</v>
      </c>
      <c r="G252" s="120"/>
      <c r="H252" s="120"/>
      <c r="I252" s="119">
        <f t="shared" si="76"/>
        <v>925</v>
      </c>
      <c r="J252" s="120"/>
      <c r="K252" s="119"/>
      <c r="L252" s="119"/>
      <c r="M252" s="119"/>
      <c r="N252" s="119"/>
      <c r="O252" s="119">
        <f t="shared" si="77"/>
        <v>569.32209652737015</v>
      </c>
      <c r="P252" s="119"/>
      <c r="Q252" s="120"/>
    </row>
    <row r="253" spans="1:17" x14ac:dyDescent="0.2">
      <c r="B253" s="123">
        <v>53053</v>
      </c>
      <c r="C253" s="119">
        <f t="shared" si="69"/>
        <v>121652.23082506913</v>
      </c>
      <c r="D253" s="119">
        <f t="shared" si="60"/>
        <v>352.79146939270044</v>
      </c>
      <c r="E253" s="119">
        <f t="shared" si="65"/>
        <v>998.20853060729951</v>
      </c>
      <c r="F253" s="119">
        <v>1351</v>
      </c>
      <c r="G253" s="120"/>
      <c r="H253" s="120"/>
      <c r="I253" s="119">
        <f t="shared" si="76"/>
        <v>925</v>
      </c>
      <c r="J253" s="120"/>
      <c r="K253" s="119"/>
      <c r="L253" s="119"/>
      <c r="M253" s="119"/>
      <c r="N253" s="119"/>
      <c r="O253" s="119">
        <f t="shared" si="77"/>
        <v>572.20853060729951</v>
      </c>
      <c r="P253" s="119"/>
      <c r="Q253" s="120"/>
    </row>
    <row r="254" spans="1:17" x14ac:dyDescent="0.2">
      <c r="B254" s="123">
        <v>53083</v>
      </c>
      <c r="C254" s="119">
        <f t="shared" si="69"/>
        <v>120654.02229446183</v>
      </c>
      <c r="D254" s="119">
        <f t="shared" si="60"/>
        <v>349.8966646539393</v>
      </c>
      <c r="E254" s="119">
        <f t="shared" si="65"/>
        <v>1001.1033353460607</v>
      </c>
      <c r="F254" s="119">
        <v>1351</v>
      </c>
      <c r="G254" s="120"/>
      <c r="H254" s="120"/>
      <c r="I254" s="119">
        <f t="shared" si="76"/>
        <v>925</v>
      </c>
      <c r="J254" s="120"/>
      <c r="K254" s="119"/>
      <c r="L254" s="119"/>
      <c r="M254" s="119"/>
      <c r="N254" s="119"/>
      <c r="O254" s="119">
        <f t="shared" si="77"/>
        <v>575.1033353460607</v>
      </c>
      <c r="P254" s="119"/>
      <c r="Q254" s="120"/>
    </row>
    <row r="255" spans="1:17" x14ac:dyDescent="0.2">
      <c r="B255" s="123">
        <v>53114</v>
      </c>
      <c r="C255" s="119">
        <f t="shared" si="69"/>
        <v>119652.91895911576</v>
      </c>
      <c r="D255" s="119">
        <f t="shared" si="60"/>
        <v>346.99346498143569</v>
      </c>
      <c r="E255" s="119">
        <f t="shared" si="65"/>
        <v>1004.0065350185644</v>
      </c>
      <c r="F255" s="119">
        <v>1351</v>
      </c>
      <c r="G255" s="120"/>
      <c r="H255" s="120"/>
      <c r="I255" s="119">
        <f t="shared" si="76"/>
        <v>925</v>
      </c>
      <c r="J255" s="120"/>
      <c r="K255" s="119"/>
      <c r="L255" s="119"/>
      <c r="M255" s="119"/>
      <c r="N255" s="119"/>
      <c r="O255" s="119">
        <f t="shared" si="77"/>
        <v>578.00653501856436</v>
      </c>
      <c r="P255" s="119"/>
      <c r="Q255" s="120"/>
    </row>
    <row r="256" spans="1:17" x14ac:dyDescent="0.2">
      <c r="B256" s="123">
        <v>53144</v>
      </c>
      <c r="C256" s="119">
        <f t="shared" si="69"/>
        <v>118648.9124240972</v>
      </c>
      <c r="D256" s="119">
        <f t="shared" si="60"/>
        <v>344.08184602988189</v>
      </c>
      <c r="E256" s="119">
        <f t="shared" si="65"/>
        <v>1006.9181539701181</v>
      </c>
      <c r="F256" s="119">
        <v>1351</v>
      </c>
      <c r="G256" s="120"/>
      <c r="H256" s="120"/>
      <c r="I256" s="119">
        <f t="shared" si="76"/>
        <v>925</v>
      </c>
      <c r="J256" s="120"/>
      <c r="K256" s="119"/>
      <c r="L256" s="119"/>
      <c r="M256" s="119"/>
      <c r="N256" s="119"/>
      <c r="O256" s="119">
        <f t="shared" si="77"/>
        <v>580.91815397011806</v>
      </c>
      <c r="P256" s="119"/>
      <c r="Q256" s="120"/>
    </row>
    <row r="257" spans="1:17" x14ac:dyDescent="0.2">
      <c r="B257" s="123">
        <v>53175</v>
      </c>
      <c r="C257" s="119">
        <f t="shared" si="69"/>
        <v>117641.99427012708</v>
      </c>
      <c r="D257" s="119">
        <f t="shared" si="60"/>
        <v>341.16178338336852</v>
      </c>
      <c r="E257" s="119">
        <f t="shared" si="65"/>
        <v>1009.8382166166315</v>
      </c>
      <c r="F257" s="119">
        <v>1351</v>
      </c>
      <c r="G257" s="120"/>
      <c r="H257" s="120"/>
      <c r="I257" s="119">
        <f t="shared" si="76"/>
        <v>925</v>
      </c>
      <c r="J257" s="120"/>
      <c r="K257" s="119"/>
      <c r="L257" s="119"/>
      <c r="M257" s="119"/>
      <c r="N257" s="119"/>
      <c r="O257" s="119">
        <f t="shared" si="77"/>
        <v>583.83821661663148</v>
      </c>
      <c r="P257" s="119"/>
      <c r="Q257" s="120"/>
    </row>
    <row r="258" spans="1:17" x14ac:dyDescent="0.2">
      <c r="B258" s="123">
        <v>53206</v>
      </c>
      <c r="C258" s="119">
        <f t="shared" si="69"/>
        <v>116632.15605351045</v>
      </c>
      <c r="D258" s="119">
        <f t="shared" si="60"/>
        <v>338.23325255518029</v>
      </c>
      <c r="E258" s="119">
        <f t="shared" si="65"/>
        <v>1012.7667474448197</v>
      </c>
      <c r="F258" s="119">
        <v>1351</v>
      </c>
      <c r="G258" s="120"/>
      <c r="H258" s="120"/>
      <c r="I258" s="119">
        <f t="shared" si="76"/>
        <v>925</v>
      </c>
      <c r="J258" s="120"/>
      <c r="K258" s="119"/>
      <c r="L258" s="119"/>
      <c r="M258" s="119"/>
      <c r="N258" s="119"/>
      <c r="O258" s="119">
        <f t="shared" si="77"/>
        <v>586.76674744481966</v>
      </c>
      <c r="P258" s="119"/>
      <c r="Q258" s="120"/>
    </row>
    <row r="259" spans="1:17" x14ac:dyDescent="0.2">
      <c r="B259" s="123">
        <v>53236</v>
      </c>
      <c r="C259" s="119">
        <f t="shared" si="69"/>
        <v>115619.38930606563</v>
      </c>
      <c r="D259" s="119">
        <f t="shared" si="60"/>
        <v>335.29622898759027</v>
      </c>
      <c r="E259" s="119">
        <f t="shared" si="65"/>
        <v>1015.7037710124098</v>
      </c>
      <c r="F259" s="119">
        <v>1351</v>
      </c>
      <c r="G259" s="120"/>
      <c r="H259" s="120"/>
      <c r="I259" s="119">
        <f t="shared" ref="I259" si="78">I257</f>
        <v>925</v>
      </c>
      <c r="J259" s="120"/>
      <c r="K259" s="119"/>
      <c r="L259" s="119"/>
      <c r="M259" s="119"/>
      <c r="N259" s="119"/>
      <c r="O259" s="125">
        <f t="shared" si="77"/>
        <v>589.70377101240979</v>
      </c>
      <c r="P259" s="119"/>
      <c r="Q259" s="120"/>
    </row>
    <row r="260" spans="1:17" x14ac:dyDescent="0.2">
      <c r="B260" s="123">
        <v>53267</v>
      </c>
      <c r="C260" s="119">
        <f t="shared" si="69"/>
        <v>114603.68553505321</v>
      </c>
      <c r="D260" s="119">
        <f t="shared" si="60"/>
        <v>332.35068805165429</v>
      </c>
      <c r="E260" s="119">
        <f t="shared" si="65"/>
        <v>1018.6493119483457</v>
      </c>
      <c r="F260" s="119">
        <v>1351</v>
      </c>
      <c r="G260" s="120"/>
      <c r="H260" s="120"/>
      <c r="I260" s="119">
        <f>I259</f>
        <v>925</v>
      </c>
      <c r="J260" s="120"/>
      <c r="K260" s="119"/>
      <c r="L260" s="119"/>
      <c r="M260" s="119"/>
      <c r="N260" s="119"/>
      <c r="O260" s="125">
        <f t="shared" si="77"/>
        <v>592.64931194834571</v>
      </c>
      <c r="P260" s="119"/>
      <c r="Q260" s="120"/>
    </row>
    <row r="261" spans="1:17" x14ac:dyDescent="0.2">
      <c r="A261">
        <v>20</v>
      </c>
      <c r="B261" s="123">
        <v>53297</v>
      </c>
      <c r="C261" s="119">
        <f t="shared" si="69"/>
        <v>113585.03622310486</v>
      </c>
      <c r="D261" s="119">
        <f t="shared" si="60"/>
        <v>329.39660504700407</v>
      </c>
      <c r="E261" s="119">
        <f t="shared" si="65"/>
        <v>1021.6033949529959</v>
      </c>
      <c r="F261" s="119">
        <v>1351</v>
      </c>
      <c r="G261" s="120"/>
      <c r="H261" s="120"/>
      <c r="I261" s="118">
        <v>975</v>
      </c>
      <c r="J261" s="118">
        <f>(I261/$J$2)/0.66</f>
        <v>18.46590909090909</v>
      </c>
      <c r="K261" s="118">
        <f>SUM(E250:E261)</f>
        <v>12066.138345941299</v>
      </c>
      <c r="L261" s="118">
        <f>SUM(I250:I261)-SUM(D250:D261)</f>
        <v>7004.1383459413009</v>
      </c>
      <c r="M261" s="118"/>
      <c r="N261" s="118">
        <v>2500</v>
      </c>
      <c r="O261" s="119">
        <f>I261-D261</f>
        <v>645.60339495299593</v>
      </c>
      <c r="P261" s="118">
        <f>SUM(O250:O261)+M261+N261</f>
        <v>9504.1383459413009</v>
      </c>
      <c r="Q261" s="118">
        <f>L261+M261+N261</f>
        <v>9504.1383459413009</v>
      </c>
    </row>
    <row r="262" spans="1:17" x14ac:dyDescent="0.2">
      <c r="B262" s="123">
        <v>53328</v>
      </c>
      <c r="C262" s="119">
        <f t="shared" si="69"/>
        <v>112563.43282815187</v>
      </c>
      <c r="D262" s="119">
        <f t="shared" ref="D262:D325" si="79">(C262*S$2)/12</f>
        <v>326.4339552016404</v>
      </c>
      <c r="E262" s="119">
        <f t="shared" si="65"/>
        <v>1024.5660447983596</v>
      </c>
      <c r="F262" s="119">
        <v>1351</v>
      </c>
      <c r="G262" s="120"/>
      <c r="H262" s="120"/>
      <c r="I262" s="119">
        <f t="shared" ref="I262:I270" si="80">I261</f>
        <v>975</v>
      </c>
      <c r="J262" s="120"/>
      <c r="K262" s="119"/>
      <c r="L262" s="119"/>
      <c r="M262" s="119"/>
      <c r="N262" s="119"/>
      <c r="O262" s="119">
        <f t="shared" ref="O262:O272" si="81">I262-D262</f>
        <v>648.5660447983596</v>
      </c>
      <c r="P262" s="119"/>
      <c r="Q262" s="120"/>
    </row>
    <row r="263" spans="1:17" x14ac:dyDescent="0.2">
      <c r="B263" s="123">
        <v>53359</v>
      </c>
      <c r="C263" s="119">
        <f t="shared" si="69"/>
        <v>111538.86678335351</v>
      </c>
      <c r="D263" s="119">
        <f t="shared" si="79"/>
        <v>323.46271367172517</v>
      </c>
      <c r="E263" s="119">
        <f t="shared" si="65"/>
        <v>1027.5372863282748</v>
      </c>
      <c r="F263" s="119">
        <v>1351</v>
      </c>
      <c r="G263" s="120"/>
      <c r="H263" s="120"/>
      <c r="I263" s="119">
        <f t="shared" si="80"/>
        <v>975</v>
      </c>
      <c r="J263" s="120"/>
      <c r="K263" s="119"/>
      <c r="L263" s="119"/>
      <c r="M263" s="119"/>
      <c r="N263" s="119"/>
      <c r="O263" s="119">
        <f t="shared" si="81"/>
        <v>651.53728632827483</v>
      </c>
      <c r="P263" s="119"/>
      <c r="Q263" s="120"/>
    </row>
    <row r="264" spans="1:17" x14ac:dyDescent="0.2">
      <c r="B264" s="123">
        <v>53387</v>
      </c>
      <c r="C264" s="119">
        <f t="shared" si="69"/>
        <v>110511.32949702525</v>
      </c>
      <c r="D264" s="119">
        <f t="shared" si="79"/>
        <v>320.48285554137323</v>
      </c>
      <c r="E264" s="119">
        <f t="shared" si="65"/>
        <v>1030.5171444586267</v>
      </c>
      <c r="F264" s="119">
        <v>1351</v>
      </c>
      <c r="G264" s="120"/>
      <c r="H264" s="120"/>
      <c r="I264" s="119">
        <f t="shared" si="80"/>
        <v>975</v>
      </c>
      <c r="J264" s="120"/>
      <c r="K264" s="119"/>
      <c r="L264" s="119"/>
      <c r="M264" s="119"/>
      <c r="N264" s="119"/>
      <c r="O264" s="119">
        <f t="shared" si="81"/>
        <v>654.51714445862672</v>
      </c>
      <c r="P264" s="119"/>
      <c r="Q264" s="120"/>
    </row>
    <row r="265" spans="1:17" x14ac:dyDescent="0.2">
      <c r="B265" s="123">
        <v>53418</v>
      </c>
      <c r="C265" s="119">
        <f t="shared" si="69"/>
        <v>109480.81235256662</v>
      </c>
      <c r="D265" s="119">
        <f t="shared" si="79"/>
        <v>317.4943558224432</v>
      </c>
      <c r="E265" s="119">
        <f t="shared" si="65"/>
        <v>1033.5056441775569</v>
      </c>
      <c r="F265" s="119">
        <v>1351</v>
      </c>
      <c r="G265" s="120"/>
      <c r="H265" s="120"/>
      <c r="I265" s="119">
        <f t="shared" si="80"/>
        <v>975</v>
      </c>
      <c r="J265" s="120"/>
      <c r="K265" s="119"/>
      <c r="L265" s="119"/>
      <c r="M265" s="119"/>
      <c r="N265" s="119"/>
      <c r="O265" s="119">
        <f t="shared" si="81"/>
        <v>657.50564417755686</v>
      </c>
      <c r="P265" s="119"/>
      <c r="Q265" s="120"/>
    </row>
    <row r="266" spans="1:17" x14ac:dyDescent="0.2">
      <c r="B266" s="123">
        <v>53448</v>
      </c>
      <c r="C266" s="119">
        <f t="shared" si="69"/>
        <v>108447.30670838906</v>
      </c>
      <c r="D266" s="119">
        <f t="shared" si="79"/>
        <v>314.49718945432829</v>
      </c>
      <c r="E266" s="119">
        <f t="shared" si="65"/>
        <v>1036.5028105456718</v>
      </c>
      <c r="F266" s="119">
        <v>1351</v>
      </c>
      <c r="G266" s="120"/>
      <c r="H266" s="120"/>
      <c r="I266" s="119">
        <f t="shared" si="80"/>
        <v>975</v>
      </c>
      <c r="J266" s="120"/>
      <c r="K266" s="119"/>
      <c r="L266" s="119"/>
      <c r="M266" s="119"/>
      <c r="N266" s="119"/>
      <c r="O266" s="119">
        <f t="shared" si="81"/>
        <v>660.50281054567176</v>
      </c>
      <c r="P266" s="119"/>
      <c r="Q266" s="120"/>
    </row>
    <row r="267" spans="1:17" x14ac:dyDescent="0.2">
      <c r="B267" s="123">
        <v>53479</v>
      </c>
      <c r="C267" s="119">
        <f t="shared" si="69"/>
        <v>107410.80389784339</v>
      </c>
      <c r="D267" s="119">
        <f t="shared" si="79"/>
        <v>311.49133130374582</v>
      </c>
      <c r="E267" s="119">
        <f t="shared" si="65"/>
        <v>1039.5086686962541</v>
      </c>
      <c r="F267" s="119">
        <v>1351</v>
      </c>
      <c r="G267" s="120"/>
      <c r="H267" s="120"/>
      <c r="I267" s="119">
        <f t="shared" si="80"/>
        <v>975</v>
      </c>
      <c r="J267" s="120"/>
      <c r="K267" s="119"/>
      <c r="L267" s="119"/>
      <c r="M267" s="119"/>
      <c r="N267" s="119"/>
      <c r="O267" s="119">
        <f t="shared" si="81"/>
        <v>663.50866869625418</v>
      </c>
      <c r="P267" s="119"/>
      <c r="Q267" s="120"/>
    </row>
    <row r="268" spans="1:17" x14ac:dyDescent="0.2">
      <c r="B268" s="123">
        <v>53509</v>
      </c>
      <c r="C268" s="119">
        <f t="shared" si="69"/>
        <v>106371.29522914713</v>
      </c>
      <c r="D268" s="119">
        <f t="shared" si="79"/>
        <v>308.47675616452665</v>
      </c>
      <c r="E268" s="119">
        <f t="shared" si="65"/>
        <v>1042.5232438354733</v>
      </c>
      <c r="F268" s="119">
        <v>1351</v>
      </c>
      <c r="G268" s="120"/>
      <c r="H268" s="120"/>
      <c r="I268" s="119">
        <f t="shared" si="80"/>
        <v>975</v>
      </c>
      <c r="J268" s="120"/>
      <c r="K268" s="119"/>
      <c r="L268" s="119"/>
      <c r="M268" s="119"/>
      <c r="N268" s="119"/>
      <c r="O268" s="119">
        <f t="shared" si="81"/>
        <v>666.52324383547329</v>
      </c>
      <c r="P268" s="119"/>
      <c r="Q268" s="120"/>
    </row>
    <row r="269" spans="1:17" x14ac:dyDescent="0.2">
      <c r="B269" s="123">
        <v>53540</v>
      </c>
      <c r="C269" s="119">
        <f t="shared" si="69"/>
        <v>105328.77198531166</v>
      </c>
      <c r="D269" s="119">
        <f t="shared" si="79"/>
        <v>305.45343875740377</v>
      </c>
      <c r="E269" s="119">
        <f t="shared" si="65"/>
        <v>1045.5465612425962</v>
      </c>
      <c r="F269" s="119">
        <v>1351</v>
      </c>
      <c r="G269" s="120"/>
      <c r="H269" s="120"/>
      <c r="I269" s="119">
        <f t="shared" si="80"/>
        <v>975</v>
      </c>
      <c r="J269" s="120"/>
      <c r="K269" s="119"/>
      <c r="L269" s="119"/>
      <c r="M269" s="119"/>
      <c r="N269" s="119"/>
      <c r="O269" s="119">
        <f t="shared" si="81"/>
        <v>669.54656124259623</v>
      </c>
      <c r="P269" s="119"/>
      <c r="Q269" s="120"/>
    </row>
    <row r="270" spans="1:17" x14ac:dyDescent="0.2">
      <c r="B270" s="123">
        <v>53571</v>
      </c>
      <c r="C270" s="119">
        <f t="shared" si="69"/>
        <v>104283.22542406907</v>
      </c>
      <c r="D270" s="119">
        <f t="shared" si="79"/>
        <v>302.42135372980027</v>
      </c>
      <c r="E270" s="119">
        <f t="shared" si="65"/>
        <v>1048.5786462701997</v>
      </c>
      <c r="F270" s="119">
        <v>1351</v>
      </c>
      <c r="G270" s="120"/>
      <c r="H270" s="120"/>
      <c r="I270" s="119">
        <f t="shared" si="80"/>
        <v>975</v>
      </c>
      <c r="J270" s="120"/>
      <c r="K270" s="119"/>
      <c r="L270" s="119"/>
      <c r="M270" s="119"/>
      <c r="N270" s="119"/>
      <c r="O270" s="119">
        <f t="shared" si="81"/>
        <v>672.57864627019967</v>
      </c>
      <c r="P270" s="119"/>
      <c r="Q270" s="120"/>
    </row>
    <row r="271" spans="1:17" x14ac:dyDescent="0.2">
      <c r="B271" s="123">
        <v>53601</v>
      </c>
      <c r="C271" s="119">
        <f t="shared" si="69"/>
        <v>103234.64677779887</v>
      </c>
      <c r="D271" s="119">
        <f t="shared" si="79"/>
        <v>299.38047565561669</v>
      </c>
      <c r="E271" s="119">
        <f t="shared" si="65"/>
        <v>1051.6195243443833</v>
      </c>
      <c r="F271" s="119">
        <v>1351</v>
      </c>
      <c r="G271" s="120"/>
      <c r="H271" s="120"/>
      <c r="I271" s="119">
        <f t="shared" ref="I271" si="82">I269</f>
        <v>975</v>
      </c>
      <c r="J271" s="120"/>
      <c r="K271" s="119"/>
      <c r="L271" s="119"/>
      <c r="M271" s="119"/>
      <c r="N271" s="119"/>
      <c r="O271" s="125">
        <f t="shared" si="81"/>
        <v>675.61952434438331</v>
      </c>
      <c r="P271" s="119"/>
      <c r="Q271" s="120"/>
    </row>
    <row r="272" spans="1:17" x14ac:dyDescent="0.2">
      <c r="B272" s="123">
        <v>53632</v>
      </c>
      <c r="C272" s="119">
        <f t="shared" si="69"/>
        <v>102183.02725345449</v>
      </c>
      <c r="D272" s="119">
        <f t="shared" si="79"/>
        <v>296.330779035018</v>
      </c>
      <c r="E272" s="119">
        <f t="shared" si="65"/>
        <v>1054.6692209649821</v>
      </c>
      <c r="F272" s="119">
        <v>1351</v>
      </c>
      <c r="G272" s="120"/>
      <c r="H272" s="120"/>
      <c r="I272" s="119">
        <f>I271</f>
        <v>975</v>
      </c>
      <c r="J272" s="120"/>
      <c r="K272" s="119"/>
      <c r="L272" s="119"/>
      <c r="M272" s="119"/>
      <c r="N272" s="119"/>
      <c r="O272" s="125">
        <f t="shared" si="81"/>
        <v>678.66922096498206</v>
      </c>
      <c r="P272" s="119"/>
      <c r="Q272" s="120"/>
    </row>
    <row r="273" spans="1:17" x14ac:dyDescent="0.2">
      <c r="A273">
        <v>21</v>
      </c>
      <c r="B273" s="123">
        <v>53662</v>
      </c>
      <c r="C273" s="119">
        <f t="shared" si="69"/>
        <v>101128.35803248952</v>
      </c>
      <c r="D273" s="119">
        <f t="shared" si="79"/>
        <v>293.27223829421956</v>
      </c>
      <c r="E273" s="119">
        <f t="shared" si="65"/>
        <v>1057.7277617057805</v>
      </c>
      <c r="F273" s="119">
        <v>1351</v>
      </c>
      <c r="G273" s="120"/>
      <c r="H273" s="120"/>
      <c r="I273" s="118">
        <v>975</v>
      </c>
      <c r="J273" s="118">
        <f>(I273/$J$2)/0.66</f>
        <v>18.46590909090909</v>
      </c>
      <c r="K273" s="118">
        <f>SUM(E262:E273)</f>
        <v>12492.802557368161</v>
      </c>
      <c r="L273" s="118">
        <f>SUM(I262:I273)-SUM(D262:D273)</f>
        <v>7980.8025573681589</v>
      </c>
      <c r="M273" s="118"/>
      <c r="N273" s="118">
        <v>2500</v>
      </c>
      <c r="O273" s="119">
        <f>I273-D273</f>
        <v>681.72776170578049</v>
      </c>
      <c r="P273" s="118">
        <f>SUM(O262:O273)+M273+N273</f>
        <v>10480.802557368159</v>
      </c>
      <c r="Q273" s="118">
        <f>L273+M273+N273</f>
        <v>10480.802557368159</v>
      </c>
    </row>
    <row r="274" spans="1:17" x14ac:dyDescent="0.2">
      <c r="B274" s="123">
        <v>53693</v>
      </c>
      <c r="C274" s="119">
        <f t="shared" si="69"/>
        <v>100070.63027078373</v>
      </c>
      <c r="D274" s="119">
        <f t="shared" si="79"/>
        <v>290.20482778527281</v>
      </c>
      <c r="E274" s="119">
        <f t="shared" si="65"/>
        <v>1060.7951722147272</v>
      </c>
      <c r="F274" s="119">
        <v>1351</v>
      </c>
      <c r="G274" s="120"/>
      <c r="H274" s="120"/>
      <c r="I274" s="119">
        <f t="shared" ref="I274:I282" si="83">I273</f>
        <v>975</v>
      </c>
      <c r="J274" s="120"/>
      <c r="K274" s="119"/>
      <c r="L274" s="119"/>
      <c r="M274" s="119"/>
      <c r="N274" s="119"/>
      <c r="O274" s="119">
        <f t="shared" ref="O274:O284" si="84">I274-D274</f>
        <v>684.79517221472724</v>
      </c>
      <c r="P274" s="119"/>
      <c r="Q274" s="120"/>
    </row>
    <row r="275" spans="1:17" x14ac:dyDescent="0.2">
      <c r="B275" s="123">
        <v>53724</v>
      </c>
      <c r="C275" s="119">
        <f t="shared" si="69"/>
        <v>99009.835098569005</v>
      </c>
      <c r="D275" s="119">
        <f t="shared" si="79"/>
        <v>287.12852178585007</v>
      </c>
      <c r="E275" s="119">
        <f t="shared" si="65"/>
        <v>1063.8714782141499</v>
      </c>
      <c r="F275" s="119">
        <v>1351</v>
      </c>
      <c r="G275" s="120"/>
      <c r="H275" s="120"/>
      <c r="I275" s="119">
        <f t="shared" si="83"/>
        <v>975</v>
      </c>
      <c r="J275" s="120"/>
      <c r="K275" s="119"/>
      <c r="L275" s="119"/>
      <c r="M275" s="119"/>
      <c r="N275" s="119"/>
      <c r="O275" s="119">
        <f t="shared" si="84"/>
        <v>687.87147821414987</v>
      </c>
      <c r="P275" s="119"/>
      <c r="Q275" s="120"/>
    </row>
    <row r="276" spans="1:17" x14ac:dyDescent="0.2">
      <c r="B276" s="123">
        <v>53752</v>
      </c>
      <c r="C276" s="119">
        <f t="shared" si="69"/>
        <v>97945.963620354858</v>
      </c>
      <c r="D276" s="119">
        <f t="shared" si="79"/>
        <v>284.04329449902906</v>
      </c>
      <c r="E276" s="119">
        <f t="shared" si="65"/>
        <v>1066.9567055009709</v>
      </c>
      <c r="F276" s="119">
        <v>1351</v>
      </c>
      <c r="G276" s="120"/>
      <c r="H276" s="120"/>
      <c r="I276" s="119">
        <f t="shared" si="83"/>
        <v>975</v>
      </c>
      <c r="J276" s="120"/>
      <c r="K276" s="119"/>
      <c r="L276" s="119"/>
      <c r="M276" s="119"/>
      <c r="N276" s="119"/>
      <c r="O276" s="119">
        <f t="shared" si="84"/>
        <v>690.95670550097088</v>
      </c>
      <c r="P276" s="119"/>
      <c r="Q276" s="120"/>
    </row>
    <row r="277" spans="1:17" x14ac:dyDescent="0.2">
      <c r="B277" s="123">
        <v>53783</v>
      </c>
      <c r="C277" s="119">
        <f t="shared" si="69"/>
        <v>96879.00691485389</v>
      </c>
      <c r="D277" s="119">
        <f t="shared" si="79"/>
        <v>280.94912005307623</v>
      </c>
      <c r="E277" s="119">
        <f t="shared" si="65"/>
        <v>1070.0508799469237</v>
      </c>
      <c r="F277" s="119">
        <v>1351</v>
      </c>
      <c r="G277" s="120"/>
      <c r="H277" s="120"/>
      <c r="I277" s="119">
        <f t="shared" si="83"/>
        <v>975</v>
      </c>
      <c r="J277" s="120"/>
      <c r="K277" s="119"/>
      <c r="L277" s="119"/>
      <c r="M277" s="119"/>
      <c r="N277" s="119"/>
      <c r="O277" s="119">
        <f t="shared" si="84"/>
        <v>694.05087994692371</v>
      </c>
      <c r="P277" s="119"/>
      <c r="Q277" s="120"/>
    </row>
    <row r="278" spans="1:17" x14ac:dyDescent="0.2">
      <c r="B278" s="123">
        <v>53813</v>
      </c>
      <c r="C278" s="119">
        <f t="shared" si="69"/>
        <v>95808.956034906965</v>
      </c>
      <c r="D278" s="119">
        <f t="shared" si="79"/>
        <v>277.84597250123016</v>
      </c>
      <c r="E278" s="119">
        <f t="shared" ref="E278:E341" si="85">F278-D278</f>
        <v>1073.1540274987699</v>
      </c>
      <c r="F278" s="119">
        <v>1351</v>
      </c>
      <c r="G278" s="120"/>
      <c r="H278" s="120"/>
      <c r="I278" s="119">
        <f t="shared" si="83"/>
        <v>975</v>
      </c>
      <c r="J278" s="120"/>
      <c r="K278" s="119"/>
      <c r="L278" s="119"/>
      <c r="M278" s="119"/>
      <c r="N278" s="119"/>
      <c r="O278" s="119">
        <f t="shared" si="84"/>
        <v>697.15402749876989</v>
      </c>
      <c r="P278" s="119"/>
      <c r="Q278" s="120"/>
    </row>
    <row r="279" spans="1:17" x14ac:dyDescent="0.2">
      <c r="B279" s="123">
        <v>53844</v>
      </c>
      <c r="C279" s="119">
        <f t="shared" si="69"/>
        <v>94735.802007408201</v>
      </c>
      <c r="D279" s="119">
        <f t="shared" si="79"/>
        <v>274.73382582148378</v>
      </c>
      <c r="E279" s="119">
        <f t="shared" si="85"/>
        <v>1076.2661741785162</v>
      </c>
      <c r="F279" s="119">
        <v>1351</v>
      </c>
      <c r="G279" s="120"/>
      <c r="H279" s="120"/>
      <c r="I279" s="119">
        <f t="shared" si="83"/>
        <v>975</v>
      </c>
      <c r="J279" s="120"/>
      <c r="K279" s="119"/>
      <c r="L279" s="119"/>
      <c r="M279" s="119"/>
      <c r="N279" s="119"/>
      <c r="O279" s="119">
        <f t="shared" si="84"/>
        <v>700.26617417851617</v>
      </c>
      <c r="P279" s="119"/>
      <c r="Q279" s="120"/>
    </row>
    <row r="280" spans="1:17" x14ac:dyDescent="0.2">
      <c r="B280" s="123">
        <v>53874</v>
      </c>
      <c r="C280" s="119">
        <f t="shared" si="69"/>
        <v>93659.535833229689</v>
      </c>
      <c r="D280" s="119">
        <f t="shared" si="79"/>
        <v>271.61265391636607</v>
      </c>
      <c r="E280" s="119">
        <f t="shared" si="85"/>
        <v>1079.3873460836339</v>
      </c>
      <c r="F280" s="119">
        <v>1351</v>
      </c>
      <c r="G280" s="120"/>
      <c r="H280" s="120"/>
      <c r="I280" s="119">
        <f t="shared" si="83"/>
        <v>975</v>
      </c>
      <c r="J280" s="120"/>
      <c r="K280" s="119"/>
      <c r="L280" s="119"/>
      <c r="M280" s="119"/>
      <c r="N280" s="119"/>
      <c r="O280" s="119">
        <f t="shared" si="84"/>
        <v>703.38734608363393</v>
      </c>
      <c r="P280" s="119"/>
      <c r="Q280" s="120"/>
    </row>
    <row r="281" spans="1:17" x14ac:dyDescent="0.2">
      <c r="B281" s="123">
        <v>53905</v>
      </c>
      <c r="C281" s="119">
        <f t="shared" si="69"/>
        <v>92580.148487146056</v>
      </c>
      <c r="D281" s="119">
        <f t="shared" si="79"/>
        <v>268.48243061272353</v>
      </c>
      <c r="E281" s="119">
        <f t="shared" si="85"/>
        <v>1082.5175693872766</v>
      </c>
      <c r="F281" s="119">
        <v>1351</v>
      </c>
      <c r="G281" s="120"/>
      <c r="H281" s="120"/>
      <c r="I281" s="119">
        <f t="shared" si="83"/>
        <v>975</v>
      </c>
      <c r="J281" s="120"/>
      <c r="K281" s="119"/>
      <c r="L281" s="119"/>
      <c r="M281" s="119"/>
      <c r="N281" s="119"/>
      <c r="O281" s="119">
        <f t="shared" si="84"/>
        <v>706.51756938727647</v>
      </c>
      <c r="P281" s="119"/>
      <c r="Q281" s="120"/>
    </row>
    <row r="282" spans="1:17" x14ac:dyDescent="0.2">
      <c r="B282" s="123">
        <v>53936</v>
      </c>
      <c r="C282" s="119">
        <f t="shared" si="69"/>
        <v>91497.630917758783</v>
      </c>
      <c r="D282" s="119">
        <f t="shared" si="79"/>
        <v>265.34312966150043</v>
      </c>
      <c r="E282" s="119">
        <f t="shared" si="85"/>
        <v>1085.6568703384996</v>
      </c>
      <c r="F282" s="119">
        <v>1351</v>
      </c>
      <c r="G282" s="120"/>
      <c r="H282" s="120"/>
      <c r="I282" s="119">
        <f t="shared" si="83"/>
        <v>975</v>
      </c>
      <c r="J282" s="120"/>
      <c r="K282" s="119"/>
      <c r="L282" s="119"/>
      <c r="M282" s="119"/>
      <c r="N282" s="119"/>
      <c r="O282" s="119">
        <f t="shared" si="84"/>
        <v>709.65687033849963</v>
      </c>
      <c r="P282" s="119"/>
      <c r="Q282" s="120"/>
    </row>
    <row r="283" spans="1:17" x14ac:dyDescent="0.2">
      <c r="B283" s="123">
        <v>53966</v>
      </c>
      <c r="C283" s="119">
        <f t="shared" si="69"/>
        <v>90411.974047420284</v>
      </c>
      <c r="D283" s="119">
        <f t="shared" si="79"/>
        <v>262.19472473751881</v>
      </c>
      <c r="E283" s="119">
        <f t="shared" si="85"/>
        <v>1088.8052752624812</v>
      </c>
      <c r="F283" s="119">
        <v>1351</v>
      </c>
      <c r="G283" s="120"/>
      <c r="H283" s="120"/>
      <c r="I283" s="119">
        <f t="shared" ref="I283" si="86">I281</f>
        <v>975</v>
      </c>
      <c r="J283" s="120"/>
      <c r="K283" s="119"/>
      <c r="L283" s="119"/>
      <c r="M283" s="119"/>
      <c r="N283" s="119"/>
      <c r="O283" s="125">
        <f t="shared" si="84"/>
        <v>712.80527526248125</v>
      </c>
      <c r="P283" s="119"/>
      <c r="Q283" s="120"/>
    </row>
    <row r="284" spans="1:17" x14ac:dyDescent="0.2">
      <c r="B284" s="123">
        <v>53997</v>
      </c>
      <c r="C284" s="119">
        <f t="shared" si="69"/>
        <v>89323.168772157806</v>
      </c>
      <c r="D284" s="119">
        <f t="shared" si="79"/>
        <v>259.03718943925759</v>
      </c>
      <c r="E284" s="119">
        <f t="shared" si="85"/>
        <v>1091.9628105607424</v>
      </c>
      <c r="F284" s="119">
        <v>1351</v>
      </c>
      <c r="G284" s="120"/>
      <c r="H284" s="120"/>
      <c r="I284" s="119">
        <f>I283</f>
        <v>975</v>
      </c>
      <c r="J284" s="120"/>
      <c r="K284" s="119"/>
      <c r="L284" s="119"/>
      <c r="M284" s="119"/>
      <c r="N284" s="119"/>
      <c r="O284" s="125">
        <f t="shared" si="84"/>
        <v>715.96281056074235</v>
      </c>
      <c r="P284" s="119"/>
      <c r="Q284" s="120"/>
    </row>
    <row r="285" spans="1:17" x14ac:dyDescent="0.2">
      <c r="A285">
        <v>22</v>
      </c>
      <c r="B285" s="123">
        <v>54027</v>
      </c>
      <c r="C285" s="119">
        <f t="shared" si="69"/>
        <v>88231.205961597065</v>
      </c>
      <c r="D285" s="119">
        <f t="shared" si="79"/>
        <v>255.87049728863147</v>
      </c>
      <c r="E285" s="119">
        <f t="shared" si="85"/>
        <v>1095.1295027113686</v>
      </c>
      <c r="F285" s="119">
        <v>1351</v>
      </c>
      <c r="G285" s="120"/>
      <c r="H285" s="120"/>
      <c r="I285" s="118">
        <v>975</v>
      </c>
      <c r="J285" s="118">
        <f>(I285/$J$2)/0.66</f>
        <v>18.46590909090909</v>
      </c>
      <c r="K285" s="118">
        <f>SUM(E274:E285)</f>
        <v>12934.55381189806</v>
      </c>
      <c r="L285" s="118">
        <f>SUM(I274:I285)-SUM(D274:D285)</f>
        <v>8422.5538118980603</v>
      </c>
      <c r="M285" s="118"/>
      <c r="N285" s="118">
        <v>2500</v>
      </c>
      <c r="O285" s="119">
        <f>I285-D285</f>
        <v>719.12950271136856</v>
      </c>
      <c r="P285" s="118">
        <f>SUM(O274:O285)+M285+N285</f>
        <v>10922.553811898058</v>
      </c>
      <c r="Q285" s="118">
        <f>L285+M285+N285</f>
        <v>10922.55381189806</v>
      </c>
    </row>
    <row r="286" spans="1:17" x14ac:dyDescent="0.2">
      <c r="B286" s="123">
        <v>54058</v>
      </c>
      <c r="C286" s="119">
        <f t="shared" si="69"/>
        <v>87136.076458885698</v>
      </c>
      <c r="D286" s="119">
        <f t="shared" si="79"/>
        <v>252.69462173076852</v>
      </c>
      <c r="E286" s="119">
        <f t="shared" si="85"/>
        <v>1098.3053782692314</v>
      </c>
      <c r="F286" s="119">
        <v>1351</v>
      </c>
      <c r="G286" s="120"/>
      <c r="H286" s="120"/>
      <c r="I286" s="119">
        <f t="shared" ref="I286:I294" si="87">I285</f>
        <v>975</v>
      </c>
      <c r="J286" s="120"/>
      <c r="K286" s="119"/>
      <c r="L286" s="119"/>
      <c r="M286" s="119"/>
      <c r="N286" s="119"/>
      <c r="O286" s="119">
        <f t="shared" ref="O286:O296" si="88">I286-D286</f>
        <v>722.30537826923148</v>
      </c>
      <c r="P286" s="119"/>
      <c r="Q286" s="120"/>
    </row>
    <row r="287" spans="1:17" x14ac:dyDescent="0.2">
      <c r="B287" s="123">
        <v>54089</v>
      </c>
      <c r="C287" s="119">
        <f t="shared" si="69"/>
        <v>86037.771080616469</v>
      </c>
      <c r="D287" s="119">
        <f t="shared" si="79"/>
        <v>249.50953613378775</v>
      </c>
      <c r="E287" s="119">
        <f t="shared" si="85"/>
        <v>1101.4904638662122</v>
      </c>
      <c r="F287" s="119">
        <v>1351</v>
      </c>
      <c r="G287" s="120"/>
      <c r="H287" s="120"/>
      <c r="I287" s="119">
        <f t="shared" si="87"/>
        <v>975</v>
      </c>
      <c r="J287" s="120"/>
      <c r="K287" s="119"/>
      <c r="L287" s="119"/>
      <c r="M287" s="119"/>
      <c r="N287" s="119"/>
      <c r="O287" s="119">
        <f t="shared" si="88"/>
        <v>725.49046386621228</v>
      </c>
      <c r="P287" s="119"/>
      <c r="Q287" s="120"/>
    </row>
    <row r="288" spans="1:17" x14ac:dyDescent="0.2">
      <c r="B288" s="123">
        <v>54118</v>
      </c>
      <c r="C288" s="119">
        <f t="shared" ref="C288:C351" si="89">C287-E287</f>
        <v>84936.280616750257</v>
      </c>
      <c r="D288" s="119">
        <f t="shared" si="79"/>
        <v>246.31521378857573</v>
      </c>
      <c r="E288" s="119">
        <f t="shared" si="85"/>
        <v>1104.6847862114244</v>
      </c>
      <c r="F288" s="119">
        <v>1351</v>
      </c>
      <c r="G288" s="120"/>
      <c r="H288" s="120"/>
      <c r="I288" s="119">
        <f t="shared" si="87"/>
        <v>975</v>
      </c>
      <c r="J288" s="120"/>
      <c r="K288" s="119"/>
      <c r="L288" s="119"/>
      <c r="M288" s="119"/>
      <c r="N288" s="119"/>
      <c r="O288" s="119">
        <f t="shared" si="88"/>
        <v>728.68478621142424</v>
      </c>
      <c r="P288" s="119"/>
      <c r="Q288" s="120"/>
    </row>
    <row r="289" spans="1:17" x14ac:dyDescent="0.2">
      <c r="B289" s="123">
        <v>54149</v>
      </c>
      <c r="C289" s="119">
        <f t="shared" si="89"/>
        <v>83831.595830538834</v>
      </c>
      <c r="D289" s="119">
        <f t="shared" si="79"/>
        <v>243.11162790856261</v>
      </c>
      <c r="E289" s="119">
        <f t="shared" si="85"/>
        <v>1107.8883720914373</v>
      </c>
      <c r="F289" s="119">
        <v>1351</v>
      </c>
      <c r="G289" s="120"/>
      <c r="H289" s="120"/>
      <c r="I289" s="119">
        <f t="shared" si="87"/>
        <v>975</v>
      </c>
      <c r="J289" s="120"/>
      <c r="K289" s="119"/>
      <c r="L289" s="119"/>
      <c r="M289" s="119"/>
      <c r="N289" s="119"/>
      <c r="O289" s="119">
        <f t="shared" si="88"/>
        <v>731.88837209143742</v>
      </c>
      <c r="P289" s="119"/>
      <c r="Q289" s="120"/>
    </row>
    <row r="290" spans="1:17" x14ac:dyDescent="0.2">
      <c r="B290" s="123">
        <v>54179</v>
      </c>
      <c r="C290" s="119">
        <f t="shared" si="89"/>
        <v>82723.707458447403</v>
      </c>
      <c r="D290" s="119">
        <f t="shared" si="79"/>
        <v>239.89875162949747</v>
      </c>
      <c r="E290" s="119">
        <f t="shared" si="85"/>
        <v>1111.1012483705026</v>
      </c>
      <c r="F290" s="119">
        <v>1351</v>
      </c>
      <c r="G290" s="120"/>
      <c r="H290" s="120"/>
      <c r="I290" s="119">
        <f t="shared" si="87"/>
        <v>975</v>
      </c>
      <c r="J290" s="120"/>
      <c r="K290" s="119"/>
      <c r="L290" s="119"/>
      <c r="M290" s="119"/>
      <c r="N290" s="119"/>
      <c r="O290" s="119">
        <f t="shared" si="88"/>
        <v>735.1012483705025</v>
      </c>
      <c r="P290" s="119"/>
      <c r="Q290" s="120"/>
    </row>
    <row r="291" spans="1:17" x14ac:dyDescent="0.2">
      <c r="B291" s="123">
        <v>54210</v>
      </c>
      <c r="C291" s="119">
        <f t="shared" si="89"/>
        <v>81612.606210076905</v>
      </c>
      <c r="D291" s="119">
        <f t="shared" si="79"/>
        <v>236.67655800922299</v>
      </c>
      <c r="E291" s="119">
        <f t="shared" si="85"/>
        <v>1114.3234419907769</v>
      </c>
      <c r="F291" s="119">
        <v>1351</v>
      </c>
      <c r="G291" s="120"/>
      <c r="H291" s="120"/>
      <c r="I291" s="119">
        <f t="shared" si="87"/>
        <v>975</v>
      </c>
      <c r="J291" s="120"/>
      <c r="K291" s="119"/>
      <c r="L291" s="119"/>
      <c r="M291" s="119"/>
      <c r="N291" s="119"/>
      <c r="O291" s="119">
        <f t="shared" si="88"/>
        <v>738.32344199077704</v>
      </c>
      <c r="P291" s="119"/>
      <c r="Q291" s="120"/>
    </row>
    <row r="292" spans="1:17" x14ac:dyDescent="0.2">
      <c r="B292" s="123">
        <v>54240</v>
      </c>
      <c r="C292" s="119">
        <f t="shared" si="89"/>
        <v>80498.282768086123</v>
      </c>
      <c r="D292" s="119">
        <f t="shared" si="79"/>
        <v>233.44502002744971</v>
      </c>
      <c r="E292" s="119">
        <f t="shared" si="85"/>
        <v>1117.5549799725502</v>
      </c>
      <c r="F292" s="119">
        <v>1351</v>
      </c>
      <c r="G292" s="120"/>
      <c r="H292" s="120"/>
      <c r="I292" s="119">
        <f t="shared" si="87"/>
        <v>975</v>
      </c>
      <c r="J292" s="120"/>
      <c r="K292" s="119"/>
      <c r="L292" s="119"/>
      <c r="M292" s="119"/>
      <c r="N292" s="119"/>
      <c r="O292" s="119">
        <f t="shared" si="88"/>
        <v>741.55497997255031</v>
      </c>
      <c r="P292" s="119"/>
      <c r="Q292" s="120"/>
    </row>
    <row r="293" spans="1:17" x14ac:dyDescent="0.2">
      <c r="B293" s="123">
        <v>54271</v>
      </c>
      <c r="C293" s="119">
        <f t="shared" si="89"/>
        <v>79380.727788113567</v>
      </c>
      <c r="D293" s="119">
        <f t="shared" si="79"/>
        <v>230.20411058552932</v>
      </c>
      <c r="E293" s="119">
        <f t="shared" si="85"/>
        <v>1120.7958894144706</v>
      </c>
      <c r="F293" s="119">
        <v>1351</v>
      </c>
      <c r="G293" s="120"/>
      <c r="H293" s="120"/>
      <c r="I293" s="119">
        <f t="shared" si="87"/>
        <v>975</v>
      </c>
      <c r="J293" s="120"/>
      <c r="K293" s="119"/>
      <c r="L293" s="119"/>
      <c r="M293" s="119"/>
      <c r="N293" s="119"/>
      <c r="O293" s="119">
        <f t="shared" si="88"/>
        <v>744.79588941447071</v>
      </c>
      <c r="P293" s="119"/>
      <c r="Q293" s="120"/>
    </row>
    <row r="294" spans="1:17" x14ac:dyDescent="0.2">
      <c r="B294" s="123">
        <v>54302</v>
      </c>
      <c r="C294" s="119">
        <f t="shared" si="89"/>
        <v>78259.931898699098</v>
      </c>
      <c r="D294" s="119">
        <f t="shared" si="79"/>
        <v>226.95380250622736</v>
      </c>
      <c r="E294" s="119">
        <f t="shared" si="85"/>
        <v>1124.0461974937725</v>
      </c>
      <c r="F294" s="119">
        <v>1351</v>
      </c>
      <c r="G294" s="120"/>
      <c r="H294" s="120"/>
      <c r="I294" s="119">
        <f t="shared" si="87"/>
        <v>975</v>
      </c>
      <c r="J294" s="120"/>
      <c r="K294" s="119"/>
      <c r="L294" s="119"/>
      <c r="M294" s="119"/>
      <c r="N294" s="119"/>
      <c r="O294" s="119">
        <f t="shared" si="88"/>
        <v>748.04619749377264</v>
      </c>
      <c r="P294" s="119"/>
      <c r="Q294" s="120"/>
    </row>
    <row r="295" spans="1:17" x14ac:dyDescent="0.2">
      <c r="B295" s="123">
        <v>54332</v>
      </c>
      <c r="C295" s="119">
        <f t="shared" si="89"/>
        <v>77135.885701205319</v>
      </c>
      <c r="D295" s="119">
        <f t="shared" si="79"/>
        <v>223.6940685334954</v>
      </c>
      <c r="E295" s="119">
        <f t="shared" si="85"/>
        <v>1127.3059314665047</v>
      </c>
      <c r="F295" s="119">
        <v>1351</v>
      </c>
      <c r="G295" s="120"/>
      <c r="H295" s="120"/>
      <c r="I295" s="119">
        <f t="shared" ref="I295" si="90">I293</f>
        <v>975</v>
      </c>
      <c r="J295" s="120"/>
      <c r="K295" s="119"/>
      <c r="L295" s="119"/>
      <c r="M295" s="119"/>
      <c r="N295" s="119"/>
      <c r="O295" s="125">
        <f t="shared" si="88"/>
        <v>751.3059314665046</v>
      </c>
      <c r="P295" s="119"/>
      <c r="Q295" s="120"/>
    </row>
    <row r="296" spans="1:17" x14ac:dyDescent="0.2">
      <c r="B296" s="123">
        <v>54363</v>
      </c>
      <c r="C296" s="119">
        <f t="shared" si="89"/>
        <v>76008.579769738819</v>
      </c>
      <c r="D296" s="119">
        <f t="shared" si="79"/>
        <v>220.42488133224256</v>
      </c>
      <c r="E296" s="119">
        <f t="shared" si="85"/>
        <v>1130.5751186677574</v>
      </c>
      <c r="F296" s="119">
        <v>1351</v>
      </c>
      <c r="G296" s="120"/>
      <c r="H296" s="120"/>
      <c r="I296" s="119">
        <f>I295</f>
        <v>975</v>
      </c>
      <c r="J296" s="120"/>
      <c r="K296" s="119"/>
      <c r="L296" s="119"/>
      <c r="M296" s="119"/>
      <c r="N296" s="119"/>
      <c r="O296" s="125">
        <f t="shared" si="88"/>
        <v>754.57511866775747</v>
      </c>
      <c r="P296" s="119"/>
      <c r="Q296" s="120"/>
    </row>
    <row r="297" spans="1:17" x14ac:dyDescent="0.2">
      <c r="A297">
        <v>23</v>
      </c>
      <c r="B297" s="123">
        <v>54393</v>
      </c>
      <c r="C297" s="119">
        <f t="shared" si="89"/>
        <v>74878.004651071067</v>
      </c>
      <c r="D297" s="119">
        <f t="shared" si="79"/>
        <v>217.1462134881061</v>
      </c>
      <c r="E297" s="119">
        <f t="shared" si="85"/>
        <v>1133.853786511894</v>
      </c>
      <c r="F297" s="119">
        <v>1351</v>
      </c>
      <c r="G297" s="120"/>
      <c r="H297" s="120"/>
      <c r="I297" s="118">
        <v>975</v>
      </c>
      <c r="J297" s="118">
        <f>(I297/$J$2)/0.66</f>
        <v>18.46590909090909</v>
      </c>
      <c r="K297" s="118">
        <f>SUM(E286:E297)</f>
        <v>13391.925594326534</v>
      </c>
      <c r="L297" s="118">
        <f>SUM(I286:I297)-SUM(D286:D297)</f>
        <v>8879.9255943265343</v>
      </c>
      <c r="M297" s="118"/>
      <c r="N297" s="118">
        <v>2500</v>
      </c>
      <c r="O297" s="119">
        <f>I297-D297</f>
        <v>757.85378651189387</v>
      </c>
      <c r="P297" s="118">
        <f>SUM(O286:O297)+M297+N297</f>
        <v>11379.925594326533</v>
      </c>
      <c r="Q297" s="118">
        <f>L297+M297+N297</f>
        <v>11379.925594326534</v>
      </c>
    </row>
    <row r="298" spans="1:17" x14ac:dyDescent="0.2">
      <c r="B298" s="123">
        <v>54424</v>
      </c>
      <c r="C298" s="119">
        <f t="shared" si="89"/>
        <v>73744.150864559168</v>
      </c>
      <c r="D298" s="119">
        <f t="shared" si="79"/>
        <v>213.85803750722155</v>
      </c>
      <c r="E298" s="119">
        <f t="shared" si="85"/>
        <v>1137.1419624927785</v>
      </c>
      <c r="F298" s="119">
        <v>1351</v>
      </c>
      <c r="G298" s="120"/>
      <c r="H298" s="120"/>
      <c r="I298" s="119">
        <f t="shared" ref="I298:I306" si="91">I297</f>
        <v>975</v>
      </c>
      <c r="J298" s="120"/>
      <c r="K298" s="119"/>
      <c r="L298" s="119"/>
      <c r="M298" s="119"/>
      <c r="N298" s="119"/>
      <c r="O298" s="119">
        <f t="shared" ref="O298:O308" si="92">I298-D298</f>
        <v>761.14196249277848</v>
      </c>
      <c r="P298" s="119"/>
      <c r="Q298" s="120"/>
    </row>
    <row r="299" spans="1:17" x14ac:dyDescent="0.2">
      <c r="B299" s="123">
        <v>54455</v>
      </c>
      <c r="C299" s="119">
        <f t="shared" si="89"/>
        <v>72607.008902066387</v>
      </c>
      <c r="D299" s="119">
        <f t="shared" si="79"/>
        <v>210.56032581599251</v>
      </c>
      <c r="E299" s="119">
        <f t="shared" si="85"/>
        <v>1140.4396741840076</v>
      </c>
      <c r="F299" s="119">
        <v>1351</v>
      </c>
      <c r="G299" s="120"/>
      <c r="H299" s="120"/>
      <c r="I299" s="119">
        <f t="shared" si="91"/>
        <v>975</v>
      </c>
      <c r="J299" s="120"/>
      <c r="K299" s="119"/>
      <c r="L299" s="119"/>
      <c r="M299" s="119"/>
      <c r="N299" s="119"/>
      <c r="O299" s="119">
        <f t="shared" si="92"/>
        <v>764.43967418400746</v>
      </c>
      <c r="P299" s="119"/>
      <c r="Q299" s="120"/>
    </row>
    <row r="300" spans="1:17" x14ac:dyDescent="0.2">
      <c r="B300" s="123">
        <v>54483</v>
      </c>
      <c r="C300" s="119">
        <f t="shared" si="89"/>
        <v>71466.569227882384</v>
      </c>
      <c r="D300" s="119">
        <f t="shared" si="79"/>
        <v>207.25305076085888</v>
      </c>
      <c r="E300" s="119">
        <f t="shared" si="85"/>
        <v>1143.746949239141</v>
      </c>
      <c r="F300" s="119">
        <v>1351</v>
      </c>
      <c r="G300" s="120"/>
      <c r="H300" s="120"/>
      <c r="I300" s="119">
        <f t="shared" si="91"/>
        <v>975</v>
      </c>
      <c r="J300" s="120"/>
      <c r="K300" s="119"/>
      <c r="L300" s="119"/>
      <c r="M300" s="119"/>
      <c r="N300" s="119"/>
      <c r="O300" s="119">
        <f t="shared" si="92"/>
        <v>767.74694923914114</v>
      </c>
      <c r="P300" s="119"/>
      <c r="Q300" s="120"/>
    </row>
    <row r="301" spans="1:17" x14ac:dyDescent="0.2">
      <c r="B301" s="123">
        <v>54514</v>
      </c>
      <c r="C301" s="119">
        <f t="shared" si="89"/>
        <v>70322.822278643245</v>
      </c>
      <c r="D301" s="119">
        <f t="shared" si="79"/>
        <v>203.93618460806542</v>
      </c>
      <c r="E301" s="119">
        <f t="shared" si="85"/>
        <v>1147.0638153919347</v>
      </c>
      <c r="F301" s="119">
        <v>1351</v>
      </c>
      <c r="G301" s="120"/>
      <c r="H301" s="120"/>
      <c r="I301" s="119">
        <f t="shared" si="91"/>
        <v>975</v>
      </c>
      <c r="J301" s="120"/>
      <c r="K301" s="119"/>
      <c r="L301" s="119"/>
      <c r="M301" s="119"/>
      <c r="N301" s="119"/>
      <c r="O301" s="119">
        <f t="shared" si="92"/>
        <v>771.06381539193455</v>
      </c>
      <c r="P301" s="119"/>
      <c r="Q301" s="120"/>
    </row>
    <row r="302" spans="1:17" x14ac:dyDescent="0.2">
      <c r="B302" s="123">
        <v>54544</v>
      </c>
      <c r="C302" s="119">
        <f t="shared" si="89"/>
        <v>69175.758463251317</v>
      </c>
      <c r="D302" s="119">
        <f t="shared" si="79"/>
        <v>200.60969954342883</v>
      </c>
      <c r="E302" s="119">
        <f t="shared" si="85"/>
        <v>1150.3903004565711</v>
      </c>
      <c r="F302" s="119">
        <v>1351</v>
      </c>
      <c r="G302" s="120"/>
      <c r="H302" s="120"/>
      <c r="I302" s="119">
        <f t="shared" si="91"/>
        <v>975</v>
      </c>
      <c r="J302" s="120"/>
      <c r="K302" s="119"/>
      <c r="L302" s="119"/>
      <c r="M302" s="119"/>
      <c r="N302" s="119"/>
      <c r="O302" s="119">
        <f t="shared" si="92"/>
        <v>774.39030045657114</v>
      </c>
      <c r="P302" s="119"/>
      <c r="Q302" s="120"/>
    </row>
    <row r="303" spans="1:17" x14ac:dyDescent="0.2">
      <c r="B303" s="123">
        <v>54575</v>
      </c>
      <c r="C303" s="119">
        <f t="shared" si="89"/>
        <v>68025.368162794752</v>
      </c>
      <c r="D303" s="119">
        <f t="shared" si="79"/>
        <v>197.27356767210475</v>
      </c>
      <c r="E303" s="119">
        <f t="shared" si="85"/>
        <v>1153.7264323278953</v>
      </c>
      <c r="F303" s="119">
        <v>1351</v>
      </c>
      <c r="G303" s="120"/>
      <c r="H303" s="120"/>
      <c r="I303" s="119">
        <f t="shared" si="91"/>
        <v>975</v>
      </c>
      <c r="J303" s="120"/>
      <c r="K303" s="119"/>
      <c r="L303" s="119"/>
      <c r="M303" s="119"/>
      <c r="N303" s="119"/>
      <c r="O303" s="119">
        <f t="shared" si="92"/>
        <v>777.72643232789528</v>
      </c>
      <c r="P303" s="119"/>
      <c r="Q303" s="120"/>
    </row>
    <row r="304" spans="1:17" x14ac:dyDescent="0.2">
      <c r="B304" s="123">
        <v>54605</v>
      </c>
      <c r="C304" s="119">
        <f t="shared" si="89"/>
        <v>66871.641730466858</v>
      </c>
      <c r="D304" s="119">
        <f t="shared" si="79"/>
        <v>193.92776101835386</v>
      </c>
      <c r="E304" s="119">
        <f t="shared" si="85"/>
        <v>1157.072238981646</v>
      </c>
      <c r="F304" s="119">
        <v>1351</v>
      </c>
      <c r="G304" s="120"/>
      <c r="H304" s="120"/>
      <c r="I304" s="119">
        <f t="shared" si="91"/>
        <v>975</v>
      </c>
      <c r="J304" s="120"/>
      <c r="K304" s="119"/>
      <c r="L304" s="119"/>
      <c r="M304" s="119"/>
      <c r="N304" s="119"/>
      <c r="O304" s="119">
        <f t="shared" si="92"/>
        <v>781.07223898164614</v>
      </c>
      <c r="P304" s="119"/>
      <c r="Q304" s="120"/>
    </row>
    <row r="305" spans="1:17" x14ac:dyDescent="0.2">
      <c r="B305" s="123">
        <v>54636</v>
      </c>
      <c r="C305" s="119">
        <f t="shared" si="89"/>
        <v>65714.569491485207</v>
      </c>
      <c r="D305" s="119">
        <f t="shared" si="79"/>
        <v>190.57225152530711</v>
      </c>
      <c r="E305" s="119">
        <f t="shared" si="85"/>
        <v>1160.4277484746929</v>
      </c>
      <c r="F305" s="119">
        <v>1351</v>
      </c>
      <c r="G305" s="120"/>
      <c r="H305" s="120"/>
      <c r="I305" s="119">
        <f t="shared" si="91"/>
        <v>975</v>
      </c>
      <c r="J305" s="120"/>
      <c r="K305" s="119"/>
      <c r="L305" s="119"/>
      <c r="M305" s="119"/>
      <c r="N305" s="119"/>
      <c r="O305" s="119">
        <f t="shared" si="92"/>
        <v>784.42774847469286</v>
      </c>
      <c r="P305" s="119"/>
      <c r="Q305" s="120"/>
    </row>
    <row r="306" spans="1:17" x14ac:dyDescent="0.2">
      <c r="B306" s="123">
        <v>54667</v>
      </c>
      <c r="C306" s="119">
        <f t="shared" si="89"/>
        <v>64554.141743010514</v>
      </c>
      <c r="D306" s="119">
        <f t="shared" si="79"/>
        <v>187.20701105473049</v>
      </c>
      <c r="E306" s="119">
        <f t="shared" si="85"/>
        <v>1163.7929889452696</v>
      </c>
      <c r="F306" s="119">
        <v>1351</v>
      </c>
      <c r="G306" s="120"/>
      <c r="H306" s="120"/>
      <c r="I306" s="119">
        <f t="shared" si="91"/>
        <v>975</v>
      </c>
      <c r="J306" s="120"/>
      <c r="K306" s="119"/>
      <c r="L306" s="119"/>
      <c r="M306" s="119"/>
      <c r="N306" s="119"/>
      <c r="O306" s="119">
        <f t="shared" si="92"/>
        <v>787.79298894526949</v>
      </c>
      <c r="P306" s="119"/>
      <c r="Q306" s="120"/>
    </row>
    <row r="307" spans="1:17" x14ac:dyDescent="0.2">
      <c r="B307" s="123">
        <v>54697</v>
      </c>
      <c r="C307" s="119">
        <f t="shared" si="89"/>
        <v>63390.348754065242</v>
      </c>
      <c r="D307" s="119">
        <f t="shared" si="79"/>
        <v>183.83201138678919</v>
      </c>
      <c r="E307" s="119">
        <f t="shared" si="85"/>
        <v>1167.1679886132108</v>
      </c>
      <c r="F307" s="119">
        <v>1351</v>
      </c>
      <c r="G307" s="120"/>
      <c r="H307" s="120"/>
      <c r="I307" s="119">
        <f t="shared" ref="I307" si="93">I305</f>
        <v>975</v>
      </c>
      <c r="J307" s="120"/>
      <c r="K307" s="119"/>
      <c r="L307" s="119"/>
      <c r="M307" s="119"/>
      <c r="N307" s="119"/>
      <c r="O307" s="125">
        <f t="shared" si="92"/>
        <v>791.16798861321081</v>
      </c>
      <c r="P307" s="119"/>
      <c r="Q307" s="120"/>
    </row>
    <row r="308" spans="1:17" x14ac:dyDescent="0.2">
      <c r="B308" s="123">
        <v>54728</v>
      </c>
      <c r="C308" s="119">
        <f t="shared" si="89"/>
        <v>62223.180765452031</v>
      </c>
      <c r="D308" s="119">
        <f t="shared" si="79"/>
        <v>180.44722421981089</v>
      </c>
      <c r="E308" s="119">
        <f t="shared" si="85"/>
        <v>1170.5527757801892</v>
      </c>
      <c r="F308" s="119">
        <v>1351</v>
      </c>
      <c r="G308" s="120"/>
      <c r="H308" s="120"/>
      <c r="I308" s="119">
        <f>I307</f>
        <v>975</v>
      </c>
      <c r="J308" s="120"/>
      <c r="K308" s="119"/>
      <c r="L308" s="119"/>
      <c r="M308" s="119"/>
      <c r="N308" s="119"/>
      <c r="O308" s="125">
        <f t="shared" si="92"/>
        <v>794.55277578018911</v>
      </c>
      <c r="P308" s="119"/>
      <c r="Q308" s="120"/>
    </row>
    <row r="309" spans="1:17" x14ac:dyDescent="0.2">
      <c r="A309">
        <v>24</v>
      </c>
      <c r="B309" s="123">
        <v>54758</v>
      </c>
      <c r="C309" s="119">
        <f t="shared" si="89"/>
        <v>61052.627989671841</v>
      </c>
      <c r="D309" s="119">
        <f t="shared" si="79"/>
        <v>177.0526211700483</v>
      </c>
      <c r="E309" s="119">
        <f t="shared" si="85"/>
        <v>1173.9473788299517</v>
      </c>
      <c r="F309" s="119">
        <v>1351</v>
      </c>
      <c r="G309" s="120"/>
      <c r="H309" s="120"/>
      <c r="I309" s="118">
        <v>1025</v>
      </c>
      <c r="J309" s="118">
        <f>(I309/$J$2)/0.66</f>
        <v>19.412878787878785</v>
      </c>
      <c r="K309" s="118">
        <f>SUM(E298:E309)</f>
        <v>13865.470253717289</v>
      </c>
      <c r="L309" s="118">
        <f>SUM(I298:I309)-SUM(D298:D309)</f>
        <v>9403.4702537172889</v>
      </c>
      <c r="M309" s="118"/>
      <c r="N309" s="118">
        <v>2500</v>
      </c>
      <c r="O309" s="119">
        <f>I309-D309</f>
        <v>847.94737882995173</v>
      </c>
      <c r="P309" s="118">
        <f>SUM(O298:O309)+M309+N309</f>
        <v>11903.470253717287</v>
      </c>
      <c r="Q309" s="118">
        <f>L309+M309+N309</f>
        <v>11903.470253717289</v>
      </c>
    </row>
    <row r="310" spans="1:17" x14ac:dyDescent="0.2">
      <c r="B310" s="123">
        <v>54789</v>
      </c>
      <c r="C310" s="119">
        <f t="shared" si="89"/>
        <v>59878.68061084189</v>
      </c>
      <c r="D310" s="119">
        <f t="shared" si="79"/>
        <v>173.64817377144149</v>
      </c>
      <c r="E310" s="119">
        <f t="shared" si="85"/>
        <v>1177.3518262285586</v>
      </c>
      <c r="F310" s="119">
        <v>1351</v>
      </c>
      <c r="G310" s="120"/>
      <c r="H310" s="120"/>
      <c r="I310" s="119">
        <f t="shared" ref="I310:I318" si="94">I309</f>
        <v>1025</v>
      </c>
      <c r="J310" s="120"/>
      <c r="K310" s="119"/>
      <c r="L310" s="119"/>
      <c r="M310" s="119"/>
      <c r="N310" s="119"/>
      <c r="O310" s="119">
        <f t="shared" ref="O310:O320" si="95">I310-D310</f>
        <v>851.35182622855848</v>
      </c>
      <c r="P310" s="119"/>
      <c r="Q310" s="120"/>
    </row>
    <row r="311" spans="1:17" x14ac:dyDescent="0.2">
      <c r="B311" s="123">
        <v>54820</v>
      </c>
      <c r="C311" s="119">
        <f t="shared" si="89"/>
        <v>58701.328784613332</v>
      </c>
      <c r="D311" s="119">
        <f t="shared" si="79"/>
        <v>170.23385347537865</v>
      </c>
      <c r="E311" s="119">
        <f t="shared" si="85"/>
        <v>1180.7661465246213</v>
      </c>
      <c r="F311" s="119">
        <v>1351</v>
      </c>
      <c r="G311" s="120"/>
      <c r="H311" s="120"/>
      <c r="I311" s="119">
        <f t="shared" si="94"/>
        <v>1025</v>
      </c>
      <c r="J311" s="120"/>
      <c r="K311" s="119"/>
      <c r="L311" s="119"/>
      <c r="M311" s="119"/>
      <c r="N311" s="119"/>
      <c r="O311" s="119">
        <f t="shared" si="95"/>
        <v>854.76614652462138</v>
      </c>
      <c r="P311" s="119"/>
      <c r="Q311" s="120"/>
    </row>
    <row r="312" spans="1:17" x14ac:dyDescent="0.2">
      <c r="B312" s="123">
        <v>54848</v>
      </c>
      <c r="C312" s="119">
        <f t="shared" si="89"/>
        <v>57520.562638088712</v>
      </c>
      <c r="D312" s="119">
        <f t="shared" si="79"/>
        <v>166.80963165045725</v>
      </c>
      <c r="E312" s="119">
        <f t="shared" si="85"/>
        <v>1184.1903683495427</v>
      </c>
      <c r="F312" s="119">
        <v>1351</v>
      </c>
      <c r="G312" s="120"/>
      <c r="H312" s="120"/>
      <c r="I312" s="119">
        <f t="shared" si="94"/>
        <v>1025</v>
      </c>
      <c r="J312" s="120"/>
      <c r="K312" s="119"/>
      <c r="L312" s="119"/>
      <c r="M312" s="119"/>
      <c r="N312" s="119"/>
      <c r="O312" s="119">
        <f t="shared" si="95"/>
        <v>858.19036834954272</v>
      </c>
      <c r="P312" s="119"/>
      <c r="Q312" s="120"/>
    </row>
    <row r="313" spans="1:17" x14ac:dyDescent="0.2">
      <c r="B313" s="123">
        <v>54879</v>
      </c>
      <c r="C313" s="119">
        <f t="shared" si="89"/>
        <v>56336.372269739171</v>
      </c>
      <c r="D313" s="119">
        <f t="shared" si="79"/>
        <v>163.37547958224357</v>
      </c>
      <c r="E313" s="119">
        <f t="shared" si="85"/>
        <v>1187.6245204177565</v>
      </c>
      <c r="F313" s="119">
        <v>1351</v>
      </c>
      <c r="G313" s="120"/>
      <c r="H313" s="120"/>
      <c r="I313" s="119">
        <f t="shared" si="94"/>
        <v>1025</v>
      </c>
      <c r="J313" s="120"/>
      <c r="K313" s="119"/>
      <c r="L313" s="119"/>
      <c r="M313" s="119"/>
      <c r="N313" s="119"/>
      <c r="O313" s="119">
        <f t="shared" si="95"/>
        <v>861.62452041775646</v>
      </c>
      <c r="P313" s="119"/>
      <c r="Q313" s="120"/>
    </row>
    <row r="314" spans="1:17" x14ac:dyDescent="0.2">
      <c r="B314" s="123">
        <v>54909</v>
      </c>
      <c r="C314" s="119">
        <f t="shared" si="89"/>
        <v>55148.747749321417</v>
      </c>
      <c r="D314" s="119">
        <f t="shared" si="79"/>
        <v>159.93136847303211</v>
      </c>
      <c r="E314" s="119">
        <f t="shared" si="85"/>
        <v>1191.0686315269679</v>
      </c>
      <c r="F314" s="119">
        <v>1351</v>
      </c>
      <c r="G314" s="120"/>
      <c r="H314" s="120"/>
      <c r="I314" s="119">
        <f t="shared" si="94"/>
        <v>1025</v>
      </c>
      <c r="J314" s="120"/>
      <c r="K314" s="119"/>
      <c r="L314" s="119"/>
      <c r="M314" s="119"/>
      <c r="N314" s="119"/>
      <c r="O314" s="119">
        <f t="shared" si="95"/>
        <v>865.06863152696792</v>
      </c>
      <c r="P314" s="119"/>
      <c r="Q314" s="120"/>
    </row>
    <row r="315" spans="1:17" x14ac:dyDescent="0.2">
      <c r="B315" s="123">
        <v>54940</v>
      </c>
      <c r="C315" s="119">
        <f t="shared" si="89"/>
        <v>53957.679117794447</v>
      </c>
      <c r="D315" s="119">
        <f t="shared" si="79"/>
        <v>156.47726944160388</v>
      </c>
      <c r="E315" s="119">
        <f t="shared" si="85"/>
        <v>1194.5227305583962</v>
      </c>
      <c r="F315" s="119">
        <v>1351</v>
      </c>
      <c r="G315" s="120"/>
      <c r="H315" s="120"/>
      <c r="I315" s="119">
        <f t="shared" si="94"/>
        <v>1025</v>
      </c>
      <c r="J315" s="120"/>
      <c r="K315" s="119"/>
      <c r="L315" s="119"/>
      <c r="M315" s="119"/>
      <c r="N315" s="119"/>
      <c r="O315" s="119">
        <f t="shared" si="95"/>
        <v>868.52273055839612</v>
      </c>
      <c r="P315" s="119"/>
      <c r="Q315" s="120"/>
    </row>
    <row r="316" spans="1:17" x14ac:dyDescent="0.2">
      <c r="B316" s="123">
        <v>54970</v>
      </c>
      <c r="C316" s="119">
        <f t="shared" si="89"/>
        <v>52763.156387236049</v>
      </c>
      <c r="D316" s="119">
        <f t="shared" si="79"/>
        <v>153.01315352298454</v>
      </c>
      <c r="E316" s="119">
        <f t="shared" si="85"/>
        <v>1197.9868464770154</v>
      </c>
      <c r="F316" s="119">
        <v>1351</v>
      </c>
      <c r="G316" s="120"/>
      <c r="H316" s="120"/>
      <c r="I316" s="119">
        <f t="shared" si="94"/>
        <v>1025</v>
      </c>
      <c r="J316" s="120"/>
      <c r="K316" s="119"/>
      <c r="L316" s="119"/>
      <c r="M316" s="119"/>
      <c r="N316" s="119"/>
      <c r="O316" s="119">
        <f t="shared" si="95"/>
        <v>871.98684647701543</v>
      </c>
      <c r="P316" s="119"/>
      <c r="Q316" s="120"/>
    </row>
    <row r="317" spans="1:17" x14ac:dyDescent="0.2">
      <c r="B317" s="123">
        <v>55001</v>
      </c>
      <c r="C317" s="119">
        <f t="shared" si="89"/>
        <v>51565.16954075903</v>
      </c>
      <c r="D317" s="119">
        <f t="shared" si="79"/>
        <v>149.53899166820119</v>
      </c>
      <c r="E317" s="119">
        <f t="shared" si="85"/>
        <v>1201.4610083317989</v>
      </c>
      <c r="F317" s="119">
        <v>1351</v>
      </c>
      <c r="G317" s="120"/>
      <c r="H317" s="120"/>
      <c r="I317" s="119">
        <f t="shared" si="94"/>
        <v>1025</v>
      </c>
      <c r="J317" s="120"/>
      <c r="K317" s="119"/>
      <c r="L317" s="119"/>
      <c r="M317" s="119"/>
      <c r="N317" s="119"/>
      <c r="O317" s="119">
        <f t="shared" si="95"/>
        <v>875.46100833179878</v>
      </c>
      <c r="P317" s="119"/>
      <c r="Q317" s="120"/>
    </row>
    <row r="318" spans="1:17" x14ac:dyDescent="0.2">
      <c r="B318" s="123">
        <v>55032</v>
      </c>
      <c r="C318" s="119">
        <f t="shared" si="89"/>
        <v>50363.708532427234</v>
      </c>
      <c r="D318" s="119">
        <f t="shared" si="79"/>
        <v>146.05475474403897</v>
      </c>
      <c r="E318" s="119">
        <f t="shared" si="85"/>
        <v>1204.945245255961</v>
      </c>
      <c r="F318" s="119">
        <v>1351</v>
      </c>
      <c r="G318" s="120"/>
      <c r="H318" s="120"/>
      <c r="I318" s="119">
        <f t="shared" si="94"/>
        <v>1025</v>
      </c>
      <c r="J318" s="120"/>
      <c r="K318" s="119"/>
      <c r="L318" s="119"/>
      <c r="M318" s="119"/>
      <c r="N318" s="119"/>
      <c r="O318" s="119">
        <f t="shared" si="95"/>
        <v>878.94524525596103</v>
      </c>
      <c r="P318" s="119"/>
      <c r="Q318" s="120"/>
    </row>
    <row r="319" spans="1:17" x14ac:dyDescent="0.2">
      <c r="B319" s="123">
        <v>55062</v>
      </c>
      <c r="C319" s="119">
        <f t="shared" si="89"/>
        <v>49158.76328717127</v>
      </c>
      <c r="D319" s="119">
        <f t="shared" si="79"/>
        <v>142.56041353279667</v>
      </c>
      <c r="E319" s="119">
        <f t="shared" si="85"/>
        <v>1208.4395864672033</v>
      </c>
      <c r="F319" s="119">
        <v>1351</v>
      </c>
      <c r="G319" s="120"/>
      <c r="H319" s="120"/>
      <c r="I319" s="119">
        <f t="shared" ref="I319" si="96">I317</f>
        <v>1025</v>
      </c>
      <c r="J319" s="120"/>
      <c r="K319" s="119"/>
      <c r="L319" s="119"/>
      <c r="M319" s="119"/>
      <c r="N319" s="119"/>
      <c r="O319" s="125">
        <f t="shared" si="95"/>
        <v>882.4395864672033</v>
      </c>
      <c r="P319" s="119"/>
      <c r="Q319" s="120"/>
    </row>
    <row r="320" spans="1:17" x14ac:dyDescent="0.2">
      <c r="B320" s="123">
        <v>55093</v>
      </c>
      <c r="C320" s="119">
        <f t="shared" si="89"/>
        <v>47950.323700704066</v>
      </c>
      <c r="D320" s="119">
        <f t="shared" si="79"/>
        <v>139.05593873204177</v>
      </c>
      <c r="E320" s="119">
        <f t="shared" si="85"/>
        <v>1211.9440612679582</v>
      </c>
      <c r="F320" s="119">
        <v>1351</v>
      </c>
      <c r="G320" s="120"/>
      <c r="H320" s="120"/>
      <c r="I320" s="119">
        <f>I319</f>
        <v>1025</v>
      </c>
      <c r="J320" s="120"/>
      <c r="K320" s="119"/>
      <c r="L320" s="119"/>
      <c r="M320" s="119"/>
      <c r="N320" s="119"/>
      <c r="O320" s="125">
        <f t="shared" si="95"/>
        <v>885.9440612679582</v>
      </c>
      <c r="P320" s="119"/>
      <c r="Q320" s="120"/>
    </row>
    <row r="321" spans="1:17" x14ac:dyDescent="0.2">
      <c r="A321">
        <v>25</v>
      </c>
      <c r="B321" s="123">
        <v>55123</v>
      </c>
      <c r="C321" s="119">
        <f t="shared" si="89"/>
        <v>46738.379639436105</v>
      </c>
      <c r="D321" s="119">
        <f t="shared" si="79"/>
        <v>135.54130095436469</v>
      </c>
      <c r="E321" s="119">
        <f t="shared" si="85"/>
        <v>1215.4586990456353</v>
      </c>
      <c r="F321" s="119">
        <v>1351</v>
      </c>
      <c r="G321" s="120"/>
      <c r="H321" s="120"/>
      <c r="I321" s="118">
        <v>1025</v>
      </c>
      <c r="J321" s="118">
        <f>(I321/$J$2)/0.66</f>
        <v>19.412878787878785</v>
      </c>
      <c r="K321" s="118">
        <f>SUM(E310:E321)</f>
        <v>14355.759670451416</v>
      </c>
      <c r="L321" s="118">
        <f>SUM(I310:I321)-SUM(D310:D321)</f>
        <v>10443.759670451414</v>
      </c>
      <c r="M321" s="118"/>
      <c r="N321" s="118">
        <v>2500</v>
      </c>
      <c r="O321" s="119">
        <f>I321-D321</f>
        <v>889.45869904563529</v>
      </c>
      <c r="P321" s="118">
        <f>SUM(O310:O321)+M321+N321</f>
        <v>12943.759670451413</v>
      </c>
      <c r="Q321" s="118">
        <f>L321+M321+N321</f>
        <v>12943.759670451414</v>
      </c>
    </row>
    <row r="322" spans="1:17" x14ac:dyDescent="0.2">
      <c r="B322" s="123">
        <v>55154</v>
      </c>
      <c r="C322" s="119">
        <f t="shared" si="89"/>
        <v>45522.920940390468</v>
      </c>
      <c r="D322" s="119">
        <f t="shared" si="79"/>
        <v>132.01647072713234</v>
      </c>
      <c r="E322" s="119">
        <f t="shared" si="85"/>
        <v>1218.9835292728676</v>
      </c>
      <c r="F322" s="119">
        <v>1351</v>
      </c>
      <c r="G322" s="120"/>
      <c r="H322" s="120"/>
      <c r="I322" s="119">
        <f t="shared" ref="I322:I330" si="97">I321</f>
        <v>1025</v>
      </c>
      <c r="J322" s="120"/>
      <c r="K322" s="119"/>
      <c r="L322" s="119"/>
      <c r="M322" s="119"/>
      <c r="N322" s="119"/>
      <c r="O322" s="119">
        <f t="shared" ref="O322:O332" si="98">I322-D322</f>
        <v>892.9835292728676</v>
      </c>
      <c r="P322" s="119"/>
      <c r="Q322" s="120"/>
    </row>
    <row r="323" spans="1:17" x14ac:dyDescent="0.2">
      <c r="B323" s="123">
        <v>55185</v>
      </c>
      <c r="C323" s="119">
        <f t="shared" si="89"/>
        <v>44303.9374111176</v>
      </c>
      <c r="D323" s="119">
        <f t="shared" si="79"/>
        <v>128.48141849224103</v>
      </c>
      <c r="E323" s="119">
        <f t="shared" si="85"/>
        <v>1222.5185815077589</v>
      </c>
      <c r="F323" s="119">
        <v>1351</v>
      </c>
      <c r="G323" s="120"/>
      <c r="H323" s="120"/>
      <c r="I323" s="119">
        <f t="shared" si="97"/>
        <v>1025</v>
      </c>
      <c r="J323" s="120"/>
      <c r="K323" s="119"/>
      <c r="L323" s="119"/>
      <c r="M323" s="119"/>
      <c r="N323" s="119"/>
      <c r="O323" s="119">
        <f t="shared" si="98"/>
        <v>896.518581507759</v>
      </c>
      <c r="P323" s="119"/>
      <c r="Q323" s="120"/>
    </row>
    <row r="324" spans="1:17" x14ac:dyDescent="0.2">
      <c r="B324" s="123">
        <v>55213</v>
      </c>
      <c r="C324" s="119">
        <f t="shared" si="89"/>
        <v>43081.418829609844</v>
      </c>
      <c r="D324" s="119">
        <f t="shared" si="79"/>
        <v>124.93611460586853</v>
      </c>
      <c r="E324" s="119">
        <f t="shared" si="85"/>
        <v>1226.0638853941314</v>
      </c>
      <c r="F324" s="119">
        <v>1351</v>
      </c>
      <c r="G324" s="120"/>
      <c r="H324" s="120"/>
      <c r="I324" s="119">
        <f t="shared" si="97"/>
        <v>1025</v>
      </c>
      <c r="J324" s="120"/>
      <c r="K324" s="119"/>
      <c r="L324" s="119"/>
      <c r="M324" s="119"/>
      <c r="N324" s="119"/>
      <c r="O324" s="119">
        <f t="shared" si="98"/>
        <v>900.06388539413149</v>
      </c>
      <c r="P324" s="119"/>
      <c r="Q324" s="120"/>
    </row>
    <row r="325" spans="1:17" x14ac:dyDescent="0.2">
      <c r="B325" s="123">
        <v>55244</v>
      </c>
      <c r="C325" s="119">
        <f t="shared" si="89"/>
        <v>41855.354944215709</v>
      </c>
      <c r="D325" s="119">
        <f t="shared" si="79"/>
        <v>121.38052933822554</v>
      </c>
      <c r="E325" s="119">
        <f t="shared" si="85"/>
        <v>1229.6194706617744</v>
      </c>
      <c r="F325" s="119">
        <v>1351</v>
      </c>
      <c r="G325" s="120"/>
      <c r="H325" s="120"/>
      <c r="I325" s="119">
        <f t="shared" si="97"/>
        <v>1025</v>
      </c>
      <c r="J325" s="120"/>
      <c r="K325" s="119"/>
      <c r="L325" s="119"/>
      <c r="M325" s="119"/>
      <c r="N325" s="119"/>
      <c r="O325" s="119">
        <f t="shared" si="98"/>
        <v>903.61947066177447</v>
      </c>
      <c r="P325" s="119"/>
      <c r="Q325" s="120"/>
    </row>
    <row r="326" spans="1:17" x14ac:dyDescent="0.2">
      <c r="B326" s="123">
        <v>55274</v>
      </c>
      <c r="C326" s="119">
        <f t="shared" si="89"/>
        <v>40625.735473553934</v>
      </c>
      <c r="D326" s="119">
        <f t="shared" ref="D326:D357" si="99">(C326*S$2)/12</f>
        <v>117.81463287330639</v>
      </c>
      <c r="E326" s="119">
        <f t="shared" si="85"/>
        <v>1233.1853671266936</v>
      </c>
      <c r="F326" s="119">
        <v>1351</v>
      </c>
      <c r="G326" s="120"/>
      <c r="H326" s="120"/>
      <c r="I326" s="119">
        <f t="shared" si="97"/>
        <v>1025</v>
      </c>
      <c r="J326" s="120"/>
      <c r="K326" s="119"/>
      <c r="L326" s="119"/>
      <c r="M326" s="119"/>
      <c r="N326" s="119"/>
      <c r="O326" s="119">
        <f t="shared" si="98"/>
        <v>907.18536712669356</v>
      </c>
      <c r="P326" s="119"/>
      <c r="Q326" s="120"/>
    </row>
    <row r="327" spans="1:17" x14ac:dyDescent="0.2">
      <c r="B327" s="123">
        <v>55305</v>
      </c>
      <c r="C327" s="119">
        <f t="shared" si="89"/>
        <v>39392.550106427239</v>
      </c>
      <c r="D327" s="119">
        <f t="shared" si="99"/>
        <v>114.23839530863899</v>
      </c>
      <c r="E327" s="119">
        <f t="shared" si="85"/>
        <v>1236.7616046913611</v>
      </c>
      <c r="F327" s="119">
        <v>1351</v>
      </c>
      <c r="G327" s="120"/>
      <c r="H327" s="120"/>
      <c r="I327" s="119">
        <f t="shared" si="97"/>
        <v>1025</v>
      </c>
      <c r="J327" s="120"/>
      <c r="K327" s="119"/>
      <c r="L327" s="119"/>
      <c r="M327" s="119"/>
      <c r="N327" s="119"/>
      <c r="O327" s="119">
        <f t="shared" si="98"/>
        <v>910.76160469136107</v>
      </c>
      <c r="P327" s="119"/>
      <c r="Q327" s="120"/>
    </row>
    <row r="328" spans="1:17" x14ac:dyDescent="0.2">
      <c r="B328" s="123">
        <v>55335</v>
      </c>
      <c r="C328" s="119">
        <f t="shared" si="89"/>
        <v>38155.788501735879</v>
      </c>
      <c r="D328" s="119">
        <f t="shared" si="99"/>
        <v>110.65178665503403</v>
      </c>
      <c r="E328" s="119">
        <f t="shared" si="85"/>
        <v>1240.3482133449659</v>
      </c>
      <c r="F328" s="119">
        <v>1351</v>
      </c>
      <c r="G328" s="120"/>
      <c r="H328" s="120"/>
      <c r="I328" s="119">
        <f t="shared" si="97"/>
        <v>1025</v>
      </c>
      <c r="J328" s="120"/>
      <c r="K328" s="119"/>
      <c r="L328" s="119"/>
      <c r="M328" s="119"/>
      <c r="N328" s="119"/>
      <c r="O328" s="119">
        <f t="shared" si="98"/>
        <v>914.34821334496598</v>
      </c>
      <c r="P328" s="119"/>
      <c r="Q328" s="120"/>
    </row>
    <row r="329" spans="1:17" x14ac:dyDescent="0.2">
      <c r="B329" s="123">
        <v>55366</v>
      </c>
      <c r="C329" s="119">
        <f t="shared" si="89"/>
        <v>36915.440288390913</v>
      </c>
      <c r="D329" s="119">
        <f t="shared" si="99"/>
        <v>107.05477683633364</v>
      </c>
      <c r="E329" s="119">
        <f t="shared" si="85"/>
        <v>1243.9452231636665</v>
      </c>
      <c r="F329" s="119">
        <v>1351</v>
      </c>
      <c r="G329" s="120"/>
      <c r="H329" s="120"/>
      <c r="I329" s="119">
        <f t="shared" si="97"/>
        <v>1025</v>
      </c>
      <c r="J329" s="120"/>
      <c r="K329" s="119"/>
      <c r="L329" s="119"/>
      <c r="M329" s="119"/>
      <c r="N329" s="119"/>
      <c r="O329" s="119">
        <f t="shared" si="98"/>
        <v>917.94522316366636</v>
      </c>
      <c r="P329" s="119"/>
      <c r="Q329" s="120"/>
    </row>
    <row r="330" spans="1:17" x14ac:dyDescent="0.2">
      <c r="B330" s="123">
        <v>55397</v>
      </c>
      <c r="C330" s="119">
        <f t="shared" si="89"/>
        <v>35671.495065227246</v>
      </c>
      <c r="D330" s="119">
        <f t="shared" si="99"/>
        <v>103.447335689159</v>
      </c>
      <c r="E330" s="119">
        <f t="shared" si="85"/>
        <v>1247.552664310841</v>
      </c>
      <c r="F330" s="119">
        <v>1351</v>
      </c>
      <c r="G330" s="120"/>
      <c r="H330" s="120"/>
      <c r="I330" s="119">
        <f t="shared" si="97"/>
        <v>1025</v>
      </c>
      <c r="J330" s="120"/>
      <c r="K330" s="119"/>
      <c r="L330" s="119"/>
      <c r="M330" s="119"/>
      <c r="N330" s="119"/>
      <c r="O330" s="119">
        <f t="shared" si="98"/>
        <v>921.55266431084101</v>
      </c>
      <c r="P330" s="119"/>
      <c r="Q330" s="120"/>
    </row>
    <row r="331" spans="1:17" x14ac:dyDescent="0.2">
      <c r="B331" s="123">
        <v>55427</v>
      </c>
      <c r="C331" s="119">
        <f t="shared" si="89"/>
        <v>34423.942400916407</v>
      </c>
      <c r="D331" s="119">
        <f t="shared" si="99"/>
        <v>99.829432962657577</v>
      </c>
      <c r="E331" s="119">
        <f t="shared" si="85"/>
        <v>1251.1705670373424</v>
      </c>
      <c r="F331" s="119">
        <v>1351</v>
      </c>
      <c r="G331" s="120"/>
      <c r="H331" s="120"/>
      <c r="I331" s="119">
        <f t="shared" ref="I331" si="100">I329</f>
        <v>1025</v>
      </c>
      <c r="J331" s="120"/>
      <c r="K331" s="119"/>
      <c r="L331" s="119"/>
      <c r="M331" s="119"/>
      <c r="N331" s="119"/>
      <c r="O331" s="125">
        <f t="shared" si="98"/>
        <v>925.17056703734238</v>
      </c>
      <c r="P331" s="119"/>
      <c r="Q331" s="120"/>
    </row>
    <row r="332" spans="1:17" x14ac:dyDescent="0.2">
      <c r="B332" s="123">
        <v>55458</v>
      </c>
      <c r="C332" s="119">
        <f t="shared" si="89"/>
        <v>33172.771833879066</v>
      </c>
      <c r="D332" s="119">
        <f t="shared" si="99"/>
        <v>96.201038318249289</v>
      </c>
      <c r="E332" s="119">
        <f t="shared" si="85"/>
        <v>1254.7989616817508</v>
      </c>
      <c r="F332" s="119">
        <v>1351</v>
      </c>
      <c r="G332" s="120"/>
      <c r="H332" s="120"/>
      <c r="I332" s="119">
        <f>I331</f>
        <v>1025</v>
      </c>
      <c r="J332" s="120"/>
      <c r="K332" s="119"/>
      <c r="L332" s="119"/>
      <c r="M332" s="119"/>
      <c r="N332" s="119"/>
      <c r="O332" s="125">
        <f t="shared" si="98"/>
        <v>928.79896168175071</v>
      </c>
      <c r="P332" s="119"/>
      <c r="Q332" s="120"/>
    </row>
    <row r="333" spans="1:17" x14ac:dyDescent="0.2">
      <c r="A333">
        <v>26</v>
      </c>
      <c r="B333" s="123">
        <v>55488</v>
      </c>
      <c r="C333" s="119">
        <f t="shared" si="89"/>
        <v>31917.972872197315</v>
      </c>
      <c r="D333" s="119">
        <f t="shared" si="99"/>
        <v>92.562121329372204</v>
      </c>
      <c r="E333" s="119">
        <f t="shared" si="85"/>
        <v>1258.4378786706277</v>
      </c>
      <c r="F333" s="119">
        <v>1351</v>
      </c>
      <c r="G333" s="120"/>
      <c r="H333" s="120"/>
      <c r="I333" s="118">
        <v>1025</v>
      </c>
      <c r="J333" s="118">
        <f>(I333/$J$2)/0.66</f>
        <v>19.412878787878785</v>
      </c>
      <c r="K333" s="118">
        <f>SUM(E322:E333)</f>
        <v>14863.38594686378</v>
      </c>
      <c r="L333" s="118">
        <f>SUM(I322:I333)-SUM(D322:D333)</f>
        <v>10951.385946863782</v>
      </c>
      <c r="M333" s="118"/>
      <c r="N333" s="118">
        <v>2500</v>
      </c>
      <c r="O333" s="119">
        <f>I333-D333</f>
        <v>932.43787867062781</v>
      </c>
      <c r="P333" s="118">
        <f>SUM(O322:O333)+M333+N333</f>
        <v>13451.38594686378</v>
      </c>
      <c r="Q333" s="118">
        <f>L333+M333+N333</f>
        <v>13451.385946863782</v>
      </c>
    </row>
    <row r="334" spans="1:17" x14ac:dyDescent="0.2">
      <c r="B334" s="123">
        <v>55519</v>
      </c>
      <c r="C334" s="119">
        <f t="shared" si="89"/>
        <v>30659.534993526686</v>
      </c>
      <c r="D334" s="119">
        <f t="shared" si="99"/>
        <v>88.912651481227385</v>
      </c>
      <c r="E334" s="119">
        <f t="shared" si="85"/>
        <v>1262.0873485187726</v>
      </c>
      <c r="F334" s="119">
        <v>1351</v>
      </c>
      <c r="G334" s="120"/>
      <c r="H334" s="120"/>
      <c r="I334" s="119">
        <f t="shared" ref="I334:I342" si="101">I333</f>
        <v>1025</v>
      </c>
      <c r="J334" s="120"/>
      <c r="K334" s="119"/>
      <c r="L334" s="119"/>
      <c r="M334" s="119"/>
      <c r="N334" s="119"/>
      <c r="O334" s="119">
        <f t="shared" ref="O334:O344" si="102">I334-D334</f>
        <v>936.08734851877261</v>
      </c>
      <c r="P334" s="119"/>
      <c r="Q334" s="120"/>
    </row>
    <row r="335" spans="1:17" x14ac:dyDescent="0.2">
      <c r="B335" s="123">
        <v>55550</v>
      </c>
      <c r="C335" s="119">
        <f t="shared" si="89"/>
        <v>29397.447645007913</v>
      </c>
      <c r="D335" s="119">
        <f t="shared" si="99"/>
        <v>85.252598170522944</v>
      </c>
      <c r="E335" s="119">
        <f t="shared" si="85"/>
        <v>1265.747401829477</v>
      </c>
      <c r="F335" s="119">
        <v>1351</v>
      </c>
      <c r="G335" s="120"/>
      <c r="H335" s="120"/>
      <c r="I335" s="119">
        <f t="shared" si="101"/>
        <v>1025</v>
      </c>
      <c r="J335" s="120"/>
      <c r="K335" s="119"/>
      <c r="L335" s="119"/>
      <c r="M335" s="119"/>
      <c r="N335" s="119"/>
      <c r="O335" s="119">
        <f t="shared" si="102"/>
        <v>939.7474018294771</v>
      </c>
      <c r="P335" s="119"/>
      <c r="Q335" s="120"/>
    </row>
    <row r="336" spans="1:17" x14ac:dyDescent="0.2">
      <c r="B336" s="123">
        <v>55579</v>
      </c>
      <c r="C336" s="119">
        <f t="shared" si="89"/>
        <v>28131.700243178435</v>
      </c>
      <c r="D336" s="119">
        <f t="shared" si="99"/>
        <v>81.581930705217459</v>
      </c>
      <c r="E336" s="119">
        <f t="shared" si="85"/>
        <v>1269.4180692947825</v>
      </c>
      <c r="F336" s="119">
        <v>1351</v>
      </c>
      <c r="G336" s="120"/>
      <c r="H336" s="120"/>
      <c r="I336" s="119">
        <f t="shared" si="101"/>
        <v>1025</v>
      </c>
      <c r="J336" s="120"/>
      <c r="K336" s="119"/>
      <c r="L336" s="119"/>
      <c r="M336" s="119"/>
      <c r="N336" s="119"/>
      <c r="O336" s="119">
        <f t="shared" si="102"/>
        <v>943.41806929478253</v>
      </c>
      <c r="P336" s="119"/>
      <c r="Q336" s="120"/>
    </row>
    <row r="337" spans="1:17" x14ac:dyDescent="0.2">
      <c r="B337" s="123">
        <v>55610</v>
      </c>
      <c r="C337" s="119">
        <f t="shared" si="89"/>
        <v>26862.282173883654</v>
      </c>
      <c r="D337" s="119">
        <f t="shared" si="99"/>
        <v>77.900618304262593</v>
      </c>
      <c r="E337" s="119">
        <f t="shared" si="85"/>
        <v>1273.0993816957375</v>
      </c>
      <c r="F337" s="119">
        <v>1351</v>
      </c>
      <c r="G337" s="120"/>
      <c r="H337" s="120"/>
      <c r="I337" s="119">
        <f t="shared" si="101"/>
        <v>1025</v>
      </c>
      <c r="J337" s="120"/>
      <c r="K337" s="119"/>
      <c r="L337" s="119"/>
      <c r="M337" s="119"/>
      <c r="N337" s="119"/>
      <c r="O337" s="119">
        <f t="shared" si="102"/>
        <v>947.09938169573741</v>
      </c>
      <c r="P337" s="119"/>
      <c r="Q337" s="120"/>
    </row>
    <row r="338" spans="1:17" x14ac:dyDescent="0.2">
      <c r="B338" s="123">
        <v>55640</v>
      </c>
      <c r="C338" s="119">
        <f t="shared" si="89"/>
        <v>25589.182792187916</v>
      </c>
      <c r="D338" s="119">
        <f t="shared" si="99"/>
        <v>74.208630097344951</v>
      </c>
      <c r="E338" s="119">
        <f t="shared" si="85"/>
        <v>1276.7913699026551</v>
      </c>
      <c r="F338" s="119">
        <v>1351</v>
      </c>
      <c r="G338" s="120"/>
      <c r="H338" s="120"/>
      <c r="I338" s="119">
        <f t="shared" si="101"/>
        <v>1025</v>
      </c>
      <c r="J338" s="120"/>
      <c r="K338" s="119"/>
      <c r="L338" s="119"/>
      <c r="M338" s="119"/>
      <c r="N338" s="119"/>
      <c r="O338" s="119">
        <f t="shared" si="102"/>
        <v>950.79136990265511</v>
      </c>
      <c r="P338" s="119"/>
      <c r="Q338" s="120"/>
    </row>
    <row r="339" spans="1:17" x14ac:dyDescent="0.2">
      <c r="B339" s="123">
        <v>55671</v>
      </c>
      <c r="C339" s="119">
        <f t="shared" si="89"/>
        <v>24312.391422285262</v>
      </c>
      <c r="D339" s="119">
        <f t="shared" si="99"/>
        <v>70.505935124627257</v>
      </c>
      <c r="E339" s="119">
        <f t="shared" si="85"/>
        <v>1280.4940648753727</v>
      </c>
      <c r="F339" s="119">
        <v>1351</v>
      </c>
      <c r="G339" s="120"/>
      <c r="H339" s="120"/>
      <c r="I339" s="119">
        <f t="shared" si="101"/>
        <v>1025</v>
      </c>
      <c r="J339" s="120"/>
      <c r="K339" s="119"/>
      <c r="L339" s="119"/>
      <c r="M339" s="119"/>
      <c r="N339" s="119"/>
      <c r="O339" s="119">
        <f t="shared" si="102"/>
        <v>954.49406487537271</v>
      </c>
      <c r="P339" s="119"/>
      <c r="Q339" s="120"/>
    </row>
    <row r="340" spans="1:17" x14ac:dyDescent="0.2">
      <c r="B340" s="123">
        <v>55701</v>
      </c>
      <c r="C340" s="119">
        <f t="shared" si="89"/>
        <v>23031.897357409889</v>
      </c>
      <c r="D340" s="119">
        <f t="shared" si="99"/>
        <v>66.792502336488681</v>
      </c>
      <c r="E340" s="119">
        <f t="shared" si="85"/>
        <v>1284.2074976635113</v>
      </c>
      <c r="F340" s="119">
        <v>1351</v>
      </c>
      <c r="G340" s="120"/>
      <c r="H340" s="120"/>
      <c r="I340" s="119">
        <f t="shared" si="101"/>
        <v>1025</v>
      </c>
      <c r="J340" s="120"/>
      <c r="K340" s="119"/>
      <c r="L340" s="119"/>
      <c r="M340" s="119"/>
      <c r="N340" s="119"/>
      <c r="O340" s="119">
        <f t="shared" si="102"/>
        <v>958.20749766351128</v>
      </c>
      <c r="P340" s="119"/>
      <c r="Q340" s="120"/>
    </row>
    <row r="341" spans="1:17" x14ac:dyDescent="0.2">
      <c r="B341" s="123">
        <v>55732</v>
      </c>
      <c r="C341" s="119">
        <f t="shared" si="89"/>
        <v>21747.689859746377</v>
      </c>
      <c r="D341" s="119">
        <f t="shared" si="99"/>
        <v>63.068300593264489</v>
      </c>
      <c r="E341" s="119">
        <f t="shared" si="85"/>
        <v>1287.9316994067356</v>
      </c>
      <c r="F341" s="119">
        <v>1351</v>
      </c>
      <c r="G341" s="120"/>
      <c r="H341" s="120"/>
      <c r="I341" s="119">
        <f t="shared" si="101"/>
        <v>1025</v>
      </c>
      <c r="J341" s="120"/>
      <c r="K341" s="119"/>
      <c r="L341" s="119"/>
      <c r="M341" s="119"/>
      <c r="N341" s="119"/>
      <c r="O341" s="119">
        <f t="shared" si="102"/>
        <v>961.93169940673556</v>
      </c>
      <c r="P341" s="119"/>
      <c r="Q341" s="120"/>
    </row>
    <row r="342" spans="1:17" x14ac:dyDescent="0.2">
      <c r="B342" s="123">
        <v>55763</v>
      </c>
      <c r="C342" s="119">
        <f t="shared" si="89"/>
        <v>20459.758160339643</v>
      </c>
      <c r="D342" s="119">
        <f t="shared" si="99"/>
        <v>59.333298664984959</v>
      </c>
      <c r="E342" s="119">
        <f t="shared" ref="E342:E357" si="103">F342-D342</f>
        <v>1291.666701335015</v>
      </c>
      <c r="F342" s="119">
        <v>1351</v>
      </c>
      <c r="G342" s="120"/>
      <c r="H342" s="120"/>
      <c r="I342" s="119">
        <f t="shared" si="101"/>
        <v>1025</v>
      </c>
      <c r="J342" s="120"/>
      <c r="K342" s="119"/>
      <c r="L342" s="119"/>
      <c r="M342" s="119"/>
      <c r="N342" s="119"/>
      <c r="O342" s="119">
        <f t="shared" si="102"/>
        <v>965.66670133501509</v>
      </c>
      <c r="P342" s="119"/>
      <c r="Q342" s="120"/>
    </row>
    <row r="343" spans="1:17" x14ac:dyDescent="0.2">
      <c r="B343" s="123">
        <v>55793</v>
      </c>
      <c r="C343" s="119">
        <f t="shared" si="89"/>
        <v>19168.091459004627</v>
      </c>
      <c r="D343" s="119">
        <f t="shared" si="99"/>
        <v>55.587465231113413</v>
      </c>
      <c r="E343" s="119">
        <f t="shared" si="103"/>
        <v>1295.4125347688866</v>
      </c>
      <c r="F343" s="119">
        <v>1351</v>
      </c>
      <c r="G343" s="120"/>
      <c r="H343" s="120"/>
      <c r="I343" s="119">
        <f t="shared" ref="I343" si="104">I341</f>
        <v>1025</v>
      </c>
      <c r="J343" s="120"/>
      <c r="K343" s="119"/>
      <c r="L343" s="119"/>
      <c r="M343" s="119"/>
      <c r="N343" s="119"/>
      <c r="O343" s="125">
        <f t="shared" si="102"/>
        <v>969.41253476888664</v>
      </c>
      <c r="P343" s="119"/>
      <c r="Q343" s="120"/>
    </row>
    <row r="344" spans="1:17" x14ac:dyDescent="0.2">
      <c r="B344" s="123">
        <v>55824</v>
      </c>
      <c r="C344" s="119">
        <f t="shared" si="89"/>
        <v>17872.678924235741</v>
      </c>
      <c r="D344" s="119">
        <f t="shared" si="99"/>
        <v>51.830768880283642</v>
      </c>
      <c r="E344" s="119">
        <f t="shared" si="103"/>
        <v>1299.1692311197164</v>
      </c>
      <c r="F344" s="119">
        <v>1351</v>
      </c>
      <c r="G344" s="120"/>
      <c r="H344" s="120"/>
      <c r="I344" s="119">
        <f>I343</f>
        <v>1025</v>
      </c>
      <c r="J344" s="120"/>
      <c r="K344" s="119"/>
      <c r="L344" s="119"/>
      <c r="M344" s="119"/>
      <c r="N344" s="119"/>
      <c r="O344" s="125">
        <f t="shared" si="102"/>
        <v>973.16923111971641</v>
      </c>
      <c r="P344" s="119"/>
      <c r="Q344" s="120"/>
    </row>
    <row r="345" spans="1:17" x14ac:dyDescent="0.2">
      <c r="A345">
        <v>27</v>
      </c>
      <c r="B345" s="123">
        <v>55854</v>
      </c>
      <c r="C345" s="119">
        <f t="shared" si="89"/>
        <v>16573.509693116026</v>
      </c>
      <c r="D345" s="119">
        <f t="shared" si="99"/>
        <v>48.063178110036468</v>
      </c>
      <c r="E345" s="119">
        <f t="shared" si="103"/>
        <v>1302.9368218899635</v>
      </c>
      <c r="F345" s="119">
        <v>1351</v>
      </c>
      <c r="G345" s="120"/>
      <c r="H345" s="120"/>
      <c r="I345" s="118">
        <v>1025</v>
      </c>
      <c r="J345" s="118">
        <f>(I345/$J$2)/0.66</f>
        <v>19.412878787878785</v>
      </c>
      <c r="K345" s="118">
        <f>SUM(E334:E345)</f>
        <v>15388.962122300625</v>
      </c>
      <c r="L345" s="118">
        <f>SUM(I334:I345)-SUM(D334:D345)</f>
        <v>11476.962122300625</v>
      </c>
      <c r="M345" s="118"/>
      <c r="N345" s="118">
        <v>2500</v>
      </c>
      <c r="O345" s="119">
        <f>I345-D345</f>
        <v>976.93682188996354</v>
      </c>
      <c r="P345" s="118">
        <f>SUM(O334:O345)+M345+N345</f>
        <v>13976.962122300625</v>
      </c>
      <c r="Q345" s="118">
        <f>L345+M345+N345</f>
        <v>13976.962122300625</v>
      </c>
    </row>
    <row r="346" spans="1:17" x14ac:dyDescent="0.2">
      <c r="B346" s="123">
        <v>55885</v>
      </c>
      <c r="C346" s="119">
        <f t="shared" si="89"/>
        <v>15270.572871226062</v>
      </c>
      <c r="D346" s="119">
        <f t="shared" si="99"/>
        <v>44.284661326555579</v>
      </c>
      <c r="E346" s="119">
        <f t="shared" si="103"/>
        <v>1306.7153386734444</v>
      </c>
      <c r="F346" s="119">
        <v>1351</v>
      </c>
      <c r="G346" s="120"/>
      <c r="H346" s="120"/>
      <c r="I346" s="119">
        <f t="shared" ref="I346:I354" si="105">I345</f>
        <v>1025</v>
      </c>
      <c r="J346" s="120"/>
      <c r="K346" s="119"/>
      <c r="L346" s="119"/>
      <c r="M346" s="119"/>
      <c r="N346" s="119"/>
      <c r="O346" s="119">
        <f t="shared" ref="O346:O356" si="106">I346-D346</f>
        <v>980.71533867344442</v>
      </c>
      <c r="P346" s="119"/>
      <c r="Q346" s="120"/>
    </row>
    <row r="347" spans="1:17" x14ac:dyDescent="0.2">
      <c r="B347" s="123">
        <v>55916</v>
      </c>
      <c r="C347" s="119">
        <f t="shared" si="89"/>
        <v>13963.857532552618</v>
      </c>
      <c r="D347" s="119">
        <f t="shared" si="99"/>
        <v>40.495186844402589</v>
      </c>
      <c r="E347" s="119">
        <f t="shared" si="103"/>
        <v>1310.5048131555975</v>
      </c>
      <c r="F347" s="119">
        <v>1351</v>
      </c>
      <c r="G347" s="120"/>
      <c r="H347" s="120"/>
      <c r="I347" s="119">
        <f t="shared" si="105"/>
        <v>1025</v>
      </c>
      <c r="J347" s="120"/>
      <c r="K347" s="119"/>
      <c r="L347" s="119"/>
      <c r="M347" s="119"/>
      <c r="N347" s="119"/>
      <c r="O347" s="119">
        <f t="shared" si="106"/>
        <v>984.50481315559739</v>
      </c>
      <c r="P347" s="119"/>
      <c r="Q347" s="120"/>
    </row>
    <row r="348" spans="1:17" x14ac:dyDescent="0.2">
      <c r="B348" s="123">
        <v>55944</v>
      </c>
      <c r="C348" s="119">
        <f t="shared" si="89"/>
        <v>12653.35271939702</v>
      </c>
      <c r="D348" s="119">
        <f t="shared" si="99"/>
        <v>36.694722886251355</v>
      </c>
      <c r="E348" s="119">
        <f t="shared" si="103"/>
        <v>1314.3052771137486</v>
      </c>
      <c r="F348" s="119">
        <v>1351</v>
      </c>
      <c r="G348" s="120"/>
      <c r="H348" s="120"/>
      <c r="I348" s="119">
        <f t="shared" si="105"/>
        <v>1025</v>
      </c>
      <c r="J348" s="120"/>
      <c r="K348" s="119"/>
      <c r="L348" s="119"/>
      <c r="M348" s="119"/>
      <c r="N348" s="119"/>
      <c r="O348" s="119">
        <f t="shared" si="106"/>
        <v>988.30527711374862</v>
      </c>
      <c r="P348" s="119"/>
      <c r="Q348" s="120"/>
    </row>
    <row r="349" spans="1:17" x14ac:dyDescent="0.2">
      <c r="B349" s="123">
        <v>55975</v>
      </c>
      <c r="C349" s="119">
        <f t="shared" si="89"/>
        <v>11339.047442283272</v>
      </c>
      <c r="D349" s="119">
        <f t="shared" si="99"/>
        <v>32.883237582621483</v>
      </c>
      <c r="E349" s="119">
        <f t="shared" si="103"/>
        <v>1318.1167624173786</v>
      </c>
      <c r="F349" s="119">
        <v>1351</v>
      </c>
      <c r="G349" s="120"/>
      <c r="H349" s="120"/>
      <c r="I349" s="119">
        <f t="shared" si="105"/>
        <v>1025</v>
      </c>
      <c r="J349" s="120"/>
      <c r="K349" s="119"/>
      <c r="L349" s="119"/>
      <c r="M349" s="119"/>
      <c r="N349" s="119"/>
      <c r="O349" s="119">
        <f t="shared" si="106"/>
        <v>992.11676241737848</v>
      </c>
      <c r="P349" s="119"/>
      <c r="Q349" s="120"/>
    </row>
    <row r="350" spans="1:17" x14ac:dyDescent="0.2">
      <c r="B350" s="123">
        <v>56005</v>
      </c>
      <c r="C350" s="119">
        <f t="shared" si="89"/>
        <v>10020.930679865894</v>
      </c>
      <c r="D350" s="119">
        <f t="shared" si="99"/>
        <v>29.060698971611092</v>
      </c>
      <c r="E350" s="119">
        <f t="shared" si="103"/>
        <v>1321.9393010283889</v>
      </c>
      <c r="F350" s="119">
        <v>1351</v>
      </c>
      <c r="G350" s="120"/>
      <c r="H350" s="120"/>
      <c r="I350" s="119">
        <f t="shared" si="105"/>
        <v>1025</v>
      </c>
      <c r="J350" s="120"/>
      <c r="K350" s="119"/>
      <c r="L350" s="119"/>
      <c r="M350" s="119"/>
      <c r="N350" s="119"/>
      <c r="O350" s="119">
        <f t="shared" si="106"/>
        <v>995.93930102838885</v>
      </c>
      <c r="P350" s="119"/>
      <c r="Q350" s="120"/>
    </row>
    <row r="351" spans="1:17" x14ac:dyDescent="0.2">
      <c r="B351" s="123">
        <v>56036</v>
      </c>
      <c r="C351" s="119">
        <f t="shared" si="89"/>
        <v>8698.9913788375052</v>
      </c>
      <c r="D351" s="119">
        <f t="shared" si="99"/>
        <v>25.227074998628765</v>
      </c>
      <c r="E351" s="119">
        <f t="shared" si="103"/>
        <v>1325.7729250013713</v>
      </c>
      <c r="F351" s="119">
        <v>1351</v>
      </c>
      <c r="G351" s="120"/>
      <c r="H351" s="120"/>
      <c r="I351" s="119">
        <f t="shared" si="105"/>
        <v>1025</v>
      </c>
      <c r="J351" s="120"/>
      <c r="K351" s="119"/>
      <c r="L351" s="119"/>
      <c r="M351" s="119"/>
      <c r="N351" s="119"/>
      <c r="O351" s="119">
        <f t="shared" si="106"/>
        <v>999.77292500137128</v>
      </c>
      <c r="P351" s="119"/>
      <c r="Q351" s="120"/>
    </row>
    <row r="352" spans="1:17" x14ac:dyDescent="0.2">
      <c r="B352" s="123">
        <v>56066</v>
      </c>
      <c r="C352" s="119">
        <f t="shared" ref="C352:C357" si="107">C351-E351</f>
        <v>7373.2184538361344</v>
      </c>
      <c r="D352" s="119">
        <f t="shared" si="99"/>
        <v>21.382333516124788</v>
      </c>
      <c r="E352" s="119">
        <f t="shared" si="103"/>
        <v>1329.6176664838752</v>
      </c>
      <c r="F352" s="119">
        <v>1351</v>
      </c>
      <c r="G352" s="120"/>
      <c r="H352" s="120"/>
      <c r="I352" s="119">
        <f t="shared" si="105"/>
        <v>1025</v>
      </c>
      <c r="J352" s="120"/>
      <c r="K352" s="119"/>
      <c r="L352" s="119"/>
      <c r="M352" s="119"/>
      <c r="N352" s="119"/>
      <c r="O352" s="119">
        <f t="shared" si="106"/>
        <v>1003.6176664838752</v>
      </c>
      <c r="P352" s="119"/>
      <c r="Q352" s="120"/>
    </row>
    <row r="353" spans="1:17" x14ac:dyDescent="0.2">
      <c r="B353" s="123">
        <v>56097</v>
      </c>
      <c r="C353" s="119">
        <f t="shared" si="107"/>
        <v>6043.6007873522594</v>
      </c>
      <c r="D353" s="119">
        <f t="shared" si="99"/>
        <v>17.526442283321551</v>
      </c>
      <c r="E353" s="119">
        <f t="shared" si="103"/>
        <v>1333.4735577166784</v>
      </c>
      <c r="F353" s="119">
        <v>1351</v>
      </c>
      <c r="G353" s="120"/>
      <c r="H353" s="120"/>
      <c r="I353" s="119">
        <f t="shared" si="105"/>
        <v>1025</v>
      </c>
      <c r="J353" s="120"/>
      <c r="K353" s="119"/>
      <c r="L353" s="119"/>
      <c r="M353" s="119"/>
      <c r="N353" s="119"/>
      <c r="O353" s="119">
        <f t="shared" si="106"/>
        <v>1007.4735577166784</v>
      </c>
      <c r="P353" s="119"/>
      <c r="Q353" s="120"/>
    </row>
    <row r="354" spans="1:17" x14ac:dyDescent="0.2">
      <c r="B354" s="123">
        <v>56128</v>
      </c>
      <c r="C354" s="119">
        <f t="shared" si="107"/>
        <v>4710.127229635581</v>
      </c>
      <c r="D354" s="119">
        <f t="shared" si="99"/>
        <v>13.659368965943186</v>
      </c>
      <c r="E354" s="119">
        <f t="shared" si="103"/>
        <v>1337.3406310340567</v>
      </c>
      <c r="F354" s="119">
        <v>1351</v>
      </c>
      <c r="G354" s="120"/>
      <c r="H354" s="120"/>
      <c r="I354" s="119">
        <f t="shared" si="105"/>
        <v>1025</v>
      </c>
      <c r="J354" s="120"/>
      <c r="K354" s="119"/>
      <c r="L354" s="119"/>
      <c r="M354" s="119"/>
      <c r="N354" s="119"/>
      <c r="O354" s="119">
        <f t="shared" si="106"/>
        <v>1011.3406310340569</v>
      </c>
      <c r="P354" s="119"/>
      <c r="Q354" s="120"/>
    </row>
    <row r="355" spans="1:17" x14ac:dyDescent="0.2">
      <c r="B355" s="123">
        <v>56158</v>
      </c>
      <c r="C355" s="119">
        <f t="shared" si="107"/>
        <v>3372.786598601524</v>
      </c>
      <c r="D355" s="119">
        <f t="shared" si="99"/>
        <v>9.7810811359444187</v>
      </c>
      <c r="E355" s="119">
        <f t="shared" si="103"/>
        <v>1341.2189188640555</v>
      </c>
      <c r="F355" s="119">
        <v>1351</v>
      </c>
      <c r="G355" s="120"/>
      <c r="H355" s="120"/>
      <c r="I355" s="119">
        <f t="shared" ref="I355" si="108">I353</f>
        <v>1025</v>
      </c>
      <c r="J355" s="120"/>
      <c r="K355" s="119"/>
      <c r="L355" s="119"/>
      <c r="M355" s="119"/>
      <c r="N355" s="119"/>
      <c r="O355" s="125">
        <f t="shared" si="106"/>
        <v>1015.2189188640556</v>
      </c>
      <c r="P355" s="119"/>
      <c r="Q355" s="120"/>
    </row>
    <row r="356" spans="1:17" x14ac:dyDescent="0.2">
      <c r="B356" s="123">
        <v>56189</v>
      </c>
      <c r="C356" s="119">
        <f t="shared" si="107"/>
        <v>2031.5676797374686</v>
      </c>
      <c r="D356" s="119">
        <f t="shared" si="99"/>
        <v>5.891546271238659</v>
      </c>
      <c r="E356" s="119">
        <f t="shared" si="103"/>
        <v>1345.1084537287613</v>
      </c>
      <c r="F356" s="119">
        <v>1351</v>
      </c>
      <c r="G356" s="120"/>
      <c r="H356" s="120"/>
      <c r="I356" s="119">
        <f>I355</f>
        <v>1025</v>
      </c>
      <c r="J356" s="120"/>
      <c r="K356" s="119"/>
      <c r="L356" s="119"/>
      <c r="M356" s="119"/>
      <c r="N356" s="119"/>
      <c r="O356" s="125">
        <f t="shared" si="106"/>
        <v>1019.1084537287613</v>
      </c>
      <c r="P356" s="119"/>
      <c r="Q356" s="120"/>
    </row>
    <row r="357" spans="1:17" x14ac:dyDescent="0.2">
      <c r="A357">
        <v>28</v>
      </c>
      <c r="B357" s="123">
        <v>56219</v>
      </c>
      <c r="C357" s="119">
        <f t="shared" si="107"/>
        <v>686.45922600870722</v>
      </c>
      <c r="D357" s="119">
        <f t="shared" si="99"/>
        <v>1.9907317554252508</v>
      </c>
      <c r="E357" s="119">
        <f t="shared" si="103"/>
        <v>1349.0092682445747</v>
      </c>
      <c r="F357" s="119">
        <v>1351</v>
      </c>
      <c r="G357" s="120"/>
      <c r="H357" s="120"/>
      <c r="I357" s="118">
        <v>1075</v>
      </c>
      <c r="J357" s="118">
        <f>(I357/$J$2)/0.66</f>
        <v>20.359848484848484</v>
      </c>
      <c r="K357" s="118">
        <f>SUM(E346:E357)</f>
        <v>15933.122913461928</v>
      </c>
      <c r="L357" s="118">
        <f>SUM(I346:I357)-SUM(D346:D357)</f>
        <v>12071.122913461932</v>
      </c>
      <c r="M357" s="118"/>
      <c r="N357" s="118">
        <v>2500</v>
      </c>
      <c r="O357" s="119">
        <f>I357-D357</f>
        <v>1073.0092682445747</v>
      </c>
      <c r="P357" s="118">
        <f>SUM(O346:O357)+M357+N357</f>
        <v>14571.122913461928</v>
      </c>
      <c r="Q357" s="118">
        <f>L357+M357+N357</f>
        <v>14571.122913461932</v>
      </c>
    </row>
    <row r="358" spans="1:17" x14ac:dyDescent="0.2">
      <c r="B358" s="123">
        <v>56250</v>
      </c>
      <c r="C358" s="119">
        <v>0</v>
      </c>
      <c r="D358" s="119">
        <v>0</v>
      </c>
      <c r="E358" s="119">
        <f>F358</f>
        <v>688.44995776413248</v>
      </c>
      <c r="F358" s="119">
        <f>C357+D357</f>
        <v>688.44995776413248</v>
      </c>
      <c r="G358" s="120"/>
      <c r="H358" s="120"/>
      <c r="I358" s="119">
        <f t="shared" ref="I358:I366" si="109">I357</f>
        <v>1075</v>
      </c>
      <c r="J358" s="120"/>
      <c r="K358" s="119"/>
      <c r="L358" s="119"/>
      <c r="M358" s="119"/>
      <c r="N358" s="119"/>
      <c r="O358" s="119">
        <f t="shared" ref="O358:O368" si="110">I358-D358</f>
        <v>1075</v>
      </c>
      <c r="P358" s="119"/>
      <c r="Q358" s="120"/>
    </row>
    <row r="359" spans="1:17" x14ac:dyDescent="0.2">
      <c r="B359" s="123">
        <v>56281</v>
      </c>
      <c r="C359" s="119">
        <v>0</v>
      </c>
      <c r="D359" s="119">
        <v>0</v>
      </c>
      <c r="E359" s="119">
        <v>0</v>
      </c>
      <c r="F359" s="119">
        <v>0</v>
      </c>
      <c r="G359" s="120"/>
      <c r="H359" s="120"/>
      <c r="I359" s="119">
        <f t="shared" si="109"/>
        <v>1075</v>
      </c>
      <c r="J359" s="120"/>
      <c r="K359" s="119"/>
      <c r="L359" s="119"/>
      <c r="M359" s="119"/>
      <c r="N359" s="119"/>
      <c r="O359" s="119">
        <f t="shared" si="110"/>
        <v>1075</v>
      </c>
      <c r="P359" s="119"/>
      <c r="Q359" s="120"/>
    </row>
    <row r="360" spans="1:17" x14ac:dyDescent="0.2">
      <c r="B360" s="123">
        <v>56309</v>
      </c>
      <c r="C360" s="119">
        <v>0</v>
      </c>
      <c r="D360" s="119">
        <v>0</v>
      </c>
      <c r="E360" s="119">
        <v>0</v>
      </c>
      <c r="F360" s="119">
        <v>0</v>
      </c>
      <c r="G360" s="120"/>
      <c r="H360" s="120"/>
      <c r="I360" s="119">
        <f t="shared" si="109"/>
        <v>1075</v>
      </c>
      <c r="J360" s="120"/>
      <c r="K360" s="119"/>
      <c r="L360" s="119"/>
      <c r="M360" s="119"/>
      <c r="N360" s="119"/>
      <c r="O360" s="119">
        <f t="shared" si="110"/>
        <v>1075</v>
      </c>
      <c r="P360" s="119"/>
      <c r="Q360" s="120"/>
    </row>
    <row r="361" spans="1:17" x14ac:dyDescent="0.2">
      <c r="B361" s="123">
        <v>56340</v>
      </c>
      <c r="C361" s="119">
        <v>0</v>
      </c>
      <c r="D361" s="119">
        <v>0</v>
      </c>
      <c r="E361" s="119">
        <v>0</v>
      </c>
      <c r="F361" s="119">
        <v>0</v>
      </c>
      <c r="G361" s="120"/>
      <c r="H361" s="120"/>
      <c r="I361" s="119">
        <f t="shared" si="109"/>
        <v>1075</v>
      </c>
      <c r="J361" s="120"/>
      <c r="K361" s="119"/>
      <c r="L361" s="119"/>
      <c r="M361" s="119"/>
      <c r="N361" s="119"/>
      <c r="O361" s="119">
        <f t="shared" si="110"/>
        <v>1075</v>
      </c>
      <c r="P361" s="119"/>
      <c r="Q361" s="120"/>
    </row>
    <row r="362" spans="1:17" x14ac:dyDescent="0.2">
      <c r="B362" s="123">
        <v>56370</v>
      </c>
      <c r="C362" s="119">
        <v>0</v>
      </c>
      <c r="D362" s="119">
        <v>0</v>
      </c>
      <c r="E362" s="119">
        <v>0</v>
      </c>
      <c r="F362" s="119">
        <v>0</v>
      </c>
      <c r="G362" s="120"/>
      <c r="H362" s="120"/>
      <c r="I362" s="119">
        <f t="shared" si="109"/>
        <v>1075</v>
      </c>
      <c r="J362" s="120"/>
      <c r="K362" s="119"/>
      <c r="L362" s="119"/>
      <c r="M362" s="119"/>
      <c r="N362" s="119"/>
      <c r="O362" s="119">
        <f t="shared" si="110"/>
        <v>1075</v>
      </c>
      <c r="P362" s="119"/>
      <c r="Q362" s="120"/>
    </row>
    <row r="363" spans="1:17" x14ac:dyDescent="0.2">
      <c r="B363" s="123">
        <v>56401</v>
      </c>
      <c r="C363" s="119">
        <v>0</v>
      </c>
      <c r="D363" s="119">
        <v>0</v>
      </c>
      <c r="E363" s="119">
        <v>0</v>
      </c>
      <c r="F363" s="119">
        <v>0</v>
      </c>
      <c r="G363" s="120"/>
      <c r="H363" s="120"/>
      <c r="I363" s="119">
        <f t="shared" si="109"/>
        <v>1075</v>
      </c>
      <c r="J363" s="120"/>
      <c r="K363" s="119"/>
      <c r="L363" s="119"/>
      <c r="M363" s="119"/>
      <c r="N363" s="119"/>
      <c r="O363" s="119">
        <f t="shared" si="110"/>
        <v>1075</v>
      </c>
      <c r="P363" s="119"/>
      <c r="Q363" s="120"/>
    </row>
    <row r="364" spans="1:17" x14ac:dyDescent="0.2">
      <c r="B364" s="123">
        <v>56431</v>
      </c>
      <c r="C364" s="119">
        <v>0</v>
      </c>
      <c r="D364" s="119">
        <v>0</v>
      </c>
      <c r="E364" s="119">
        <v>0</v>
      </c>
      <c r="F364" s="119">
        <v>0</v>
      </c>
      <c r="G364" s="120"/>
      <c r="H364" s="120"/>
      <c r="I364" s="119">
        <f t="shared" si="109"/>
        <v>1075</v>
      </c>
      <c r="J364" s="120"/>
      <c r="K364" s="119"/>
      <c r="L364" s="119"/>
      <c r="M364" s="119"/>
      <c r="N364" s="119"/>
      <c r="O364" s="119">
        <f t="shared" si="110"/>
        <v>1075</v>
      </c>
      <c r="P364" s="119"/>
      <c r="Q364" s="120"/>
    </row>
    <row r="365" spans="1:17" x14ac:dyDescent="0.2">
      <c r="B365" s="123">
        <v>56462</v>
      </c>
      <c r="C365" s="119">
        <v>0</v>
      </c>
      <c r="D365" s="119">
        <v>0</v>
      </c>
      <c r="E365" s="119">
        <v>0</v>
      </c>
      <c r="F365" s="119">
        <v>0</v>
      </c>
      <c r="G365" s="120"/>
      <c r="H365" s="120"/>
      <c r="I365" s="119">
        <f t="shared" si="109"/>
        <v>1075</v>
      </c>
      <c r="J365" s="120"/>
      <c r="K365" s="119"/>
      <c r="L365" s="119"/>
      <c r="M365" s="119"/>
      <c r="N365" s="119"/>
      <c r="O365" s="119">
        <f t="shared" si="110"/>
        <v>1075</v>
      </c>
      <c r="P365" s="119"/>
      <c r="Q365" s="120"/>
    </row>
    <row r="366" spans="1:17" x14ac:dyDescent="0.2">
      <c r="B366" s="123">
        <v>56493</v>
      </c>
      <c r="C366" s="119">
        <v>0</v>
      </c>
      <c r="D366" s="119">
        <v>0</v>
      </c>
      <c r="E366" s="119">
        <v>0</v>
      </c>
      <c r="F366" s="119">
        <v>0</v>
      </c>
      <c r="G366" s="120"/>
      <c r="H366" s="120"/>
      <c r="I366" s="119">
        <f t="shared" si="109"/>
        <v>1075</v>
      </c>
      <c r="J366" s="120"/>
      <c r="K366" s="119"/>
      <c r="L366" s="119"/>
      <c r="M366" s="119"/>
      <c r="N366" s="119"/>
      <c r="O366" s="119">
        <f t="shared" si="110"/>
        <v>1075</v>
      </c>
      <c r="P366" s="119"/>
      <c r="Q366" s="120"/>
    </row>
    <row r="367" spans="1:17" x14ac:dyDescent="0.2">
      <c r="B367" s="123">
        <v>56523</v>
      </c>
      <c r="C367" s="119">
        <v>0</v>
      </c>
      <c r="D367" s="119">
        <v>0</v>
      </c>
      <c r="E367" s="119">
        <v>0</v>
      </c>
      <c r="F367" s="119">
        <v>0</v>
      </c>
      <c r="G367" s="120"/>
      <c r="H367" s="120"/>
      <c r="I367" s="119">
        <f t="shared" ref="I367" si="111">I365</f>
        <v>1075</v>
      </c>
      <c r="J367" s="120"/>
      <c r="K367" s="119"/>
      <c r="L367" s="119"/>
      <c r="M367" s="119"/>
      <c r="N367" s="119"/>
      <c r="O367" s="125">
        <f t="shared" si="110"/>
        <v>1075</v>
      </c>
      <c r="P367" s="119"/>
      <c r="Q367" s="120"/>
    </row>
    <row r="368" spans="1:17" x14ac:dyDescent="0.2">
      <c r="B368" s="123">
        <v>56554</v>
      </c>
      <c r="C368" s="119">
        <v>0</v>
      </c>
      <c r="D368" s="119">
        <v>0</v>
      </c>
      <c r="E368" s="119">
        <v>0</v>
      </c>
      <c r="F368" s="119">
        <v>0</v>
      </c>
      <c r="G368" s="120"/>
      <c r="H368" s="120"/>
      <c r="I368" s="119">
        <f>I367</f>
        <v>1075</v>
      </c>
      <c r="J368" s="120"/>
      <c r="K368" s="119"/>
      <c r="L368" s="119"/>
      <c r="M368" s="119"/>
      <c r="N368" s="119"/>
      <c r="O368" s="125">
        <f t="shared" si="110"/>
        <v>1075</v>
      </c>
      <c r="P368" s="119"/>
      <c r="Q368" s="120"/>
    </row>
    <row r="369" spans="1:22" x14ac:dyDescent="0.2">
      <c r="A369">
        <v>29</v>
      </c>
      <c r="B369" s="123">
        <v>56584</v>
      </c>
      <c r="C369" s="119">
        <v>0</v>
      </c>
      <c r="D369" s="119">
        <v>0</v>
      </c>
      <c r="E369" s="119">
        <v>0</v>
      </c>
      <c r="F369" s="119">
        <v>0</v>
      </c>
      <c r="G369" s="120"/>
      <c r="H369" s="120"/>
      <c r="I369" s="118">
        <v>1075</v>
      </c>
      <c r="J369" s="118">
        <f>(I369/$J$2)/0.66</f>
        <v>20.359848484848484</v>
      </c>
      <c r="K369" s="118">
        <f>SUM(E358:E369)</f>
        <v>688.44995776413248</v>
      </c>
      <c r="L369" s="118">
        <f>SUM(I358:I369)-SUM(D358:D369)</f>
        <v>12900</v>
      </c>
      <c r="M369" s="118"/>
      <c r="N369" s="118">
        <v>2500</v>
      </c>
      <c r="O369" s="119">
        <f>I369-D369</f>
        <v>1075</v>
      </c>
      <c r="P369" s="118">
        <f>SUM(O358:O369)+M369+N369</f>
        <v>15400</v>
      </c>
      <c r="Q369" s="118">
        <f>L369+M369+N369</f>
        <v>15400</v>
      </c>
    </row>
    <row r="370" spans="1:22" x14ac:dyDescent="0.2">
      <c r="B370" s="123">
        <v>56615</v>
      </c>
      <c r="C370" s="119">
        <v>0</v>
      </c>
      <c r="D370" s="119">
        <v>0</v>
      </c>
      <c r="E370" s="119">
        <v>0</v>
      </c>
      <c r="F370" s="119">
        <v>0</v>
      </c>
      <c r="G370" s="120"/>
      <c r="H370" s="120"/>
      <c r="I370" s="119">
        <f t="shared" ref="I370:I378" si="112">I369</f>
        <v>1075</v>
      </c>
      <c r="J370" s="120"/>
      <c r="K370" s="119"/>
      <c r="L370" s="119"/>
      <c r="M370" s="119"/>
      <c r="N370" s="119"/>
      <c r="O370" s="119">
        <f t="shared" ref="O370:O380" si="113">I370-D370</f>
        <v>1075</v>
      </c>
      <c r="P370" s="119"/>
      <c r="Q370" s="120"/>
    </row>
    <row r="371" spans="1:22" x14ac:dyDescent="0.2">
      <c r="B371" s="123">
        <v>56646</v>
      </c>
      <c r="C371" s="119">
        <v>0</v>
      </c>
      <c r="D371" s="119">
        <v>0</v>
      </c>
      <c r="E371" s="119">
        <v>0</v>
      </c>
      <c r="F371" s="119">
        <v>0</v>
      </c>
      <c r="G371" s="120"/>
      <c r="H371" s="120"/>
      <c r="I371" s="119">
        <f t="shared" si="112"/>
        <v>1075</v>
      </c>
      <c r="J371" s="120"/>
      <c r="K371" s="119"/>
      <c r="L371" s="119"/>
      <c r="M371" s="119"/>
      <c r="N371" s="119"/>
      <c r="O371" s="119">
        <f t="shared" si="113"/>
        <v>1075</v>
      </c>
      <c r="P371" s="119"/>
      <c r="Q371" s="120"/>
    </row>
    <row r="372" spans="1:22" x14ac:dyDescent="0.2">
      <c r="B372" s="123">
        <v>56674</v>
      </c>
      <c r="C372" s="119">
        <v>0</v>
      </c>
      <c r="D372" s="119">
        <v>0</v>
      </c>
      <c r="E372" s="119">
        <v>0</v>
      </c>
      <c r="F372" s="119">
        <v>0</v>
      </c>
      <c r="G372" s="120"/>
      <c r="H372" s="120"/>
      <c r="I372" s="119">
        <f t="shared" si="112"/>
        <v>1075</v>
      </c>
      <c r="J372" s="120"/>
      <c r="K372" s="119"/>
      <c r="L372" s="119"/>
      <c r="M372" s="119"/>
      <c r="N372" s="119"/>
      <c r="O372" s="119">
        <f t="shared" si="113"/>
        <v>1075</v>
      </c>
      <c r="P372" s="119"/>
      <c r="Q372" s="120"/>
    </row>
    <row r="373" spans="1:22" x14ac:dyDescent="0.2">
      <c r="B373" s="123">
        <v>56705</v>
      </c>
      <c r="C373" s="119">
        <v>0</v>
      </c>
      <c r="D373" s="119">
        <v>0</v>
      </c>
      <c r="E373" s="119">
        <v>0</v>
      </c>
      <c r="F373" s="119">
        <v>0</v>
      </c>
      <c r="G373" s="120"/>
      <c r="H373" s="120"/>
      <c r="I373" s="119">
        <f t="shared" si="112"/>
        <v>1075</v>
      </c>
      <c r="J373" s="120"/>
      <c r="K373" s="119"/>
      <c r="L373" s="119"/>
      <c r="M373" s="119"/>
      <c r="N373" s="119"/>
      <c r="O373" s="119">
        <f t="shared" si="113"/>
        <v>1075</v>
      </c>
      <c r="P373" s="119"/>
      <c r="Q373" s="120"/>
    </row>
    <row r="374" spans="1:22" x14ac:dyDescent="0.2">
      <c r="B374" s="123">
        <v>56735</v>
      </c>
      <c r="C374" s="119">
        <v>0</v>
      </c>
      <c r="D374" s="119">
        <v>0</v>
      </c>
      <c r="E374" s="119">
        <v>0</v>
      </c>
      <c r="F374" s="119">
        <v>0</v>
      </c>
      <c r="G374" s="120"/>
      <c r="H374" s="120"/>
      <c r="I374" s="119">
        <f t="shared" si="112"/>
        <v>1075</v>
      </c>
      <c r="J374" s="120"/>
      <c r="K374" s="119"/>
      <c r="L374" s="119"/>
      <c r="M374" s="119"/>
      <c r="N374" s="119"/>
      <c r="O374" s="119">
        <f t="shared" si="113"/>
        <v>1075</v>
      </c>
      <c r="P374" s="119"/>
      <c r="Q374" s="120"/>
    </row>
    <row r="375" spans="1:22" x14ac:dyDescent="0.2">
      <c r="B375" s="123">
        <v>56766</v>
      </c>
      <c r="C375" s="119">
        <v>0</v>
      </c>
      <c r="D375" s="119">
        <v>0</v>
      </c>
      <c r="E375" s="119">
        <v>0</v>
      </c>
      <c r="F375" s="119">
        <v>0</v>
      </c>
      <c r="G375" s="120"/>
      <c r="H375" s="120"/>
      <c r="I375" s="119">
        <f t="shared" si="112"/>
        <v>1075</v>
      </c>
      <c r="J375" s="120"/>
      <c r="K375" s="119"/>
      <c r="L375" s="119"/>
      <c r="M375" s="119"/>
      <c r="N375" s="119"/>
      <c r="O375" s="119">
        <f t="shared" si="113"/>
        <v>1075</v>
      </c>
      <c r="P375" s="119"/>
      <c r="Q375" s="120"/>
    </row>
    <row r="376" spans="1:22" x14ac:dyDescent="0.2">
      <c r="B376" s="123">
        <v>56796</v>
      </c>
      <c r="C376" s="119">
        <v>0</v>
      </c>
      <c r="D376" s="119">
        <v>0</v>
      </c>
      <c r="E376" s="119">
        <v>0</v>
      </c>
      <c r="F376" s="119">
        <v>0</v>
      </c>
      <c r="G376" s="120"/>
      <c r="H376" s="120"/>
      <c r="I376" s="119">
        <f t="shared" si="112"/>
        <v>1075</v>
      </c>
      <c r="J376" s="120"/>
      <c r="K376" s="119"/>
      <c r="L376" s="119"/>
      <c r="M376" s="119"/>
      <c r="N376" s="119"/>
      <c r="O376" s="119">
        <f t="shared" si="113"/>
        <v>1075</v>
      </c>
      <c r="P376" s="119"/>
      <c r="Q376" s="120"/>
    </row>
    <row r="377" spans="1:22" x14ac:dyDescent="0.2">
      <c r="B377" s="123">
        <v>56827</v>
      </c>
      <c r="C377" s="119">
        <v>0</v>
      </c>
      <c r="D377" s="119">
        <v>0</v>
      </c>
      <c r="E377" s="119">
        <v>0</v>
      </c>
      <c r="F377" s="119">
        <v>0</v>
      </c>
      <c r="G377" s="120"/>
      <c r="H377" s="120"/>
      <c r="I377" s="119">
        <f t="shared" si="112"/>
        <v>1075</v>
      </c>
      <c r="J377" s="120"/>
      <c r="K377" s="119"/>
      <c r="L377" s="119"/>
      <c r="M377" s="119"/>
      <c r="N377" s="119"/>
      <c r="O377" s="119">
        <f t="shared" si="113"/>
        <v>1075</v>
      </c>
      <c r="P377" s="119"/>
      <c r="Q377" s="120"/>
    </row>
    <row r="378" spans="1:22" x14ac:dyDescent="0.2">
      <c r="B378" s="123">
        <v>56858</v>
      </c>
      <c r="C378" s="119">
        <v>0</v>
      </c>
      <c r="D378" s="119">
        <v>0</v>
      </c>
      <c r="E378" s="119">
        <v>0</v>
      </c>
      <c r="F378" s="119">
        <v>0</v>
      </c>
      <c r="G378" s="120"/>
      <c r="H378" s="120"/>
      <c r="I378" s="119">
        <f t="shared" si="112"/>
        <v>1075</v>
      </c>
      <c r="J378" s="120"/>
      <c r="K378" s="119"/>
      <c r="L378" s="119"/>
      <c r="M378" s="119"/>
      <c r="N378" s="119"/>
      <c r="O378" s="119">
        <f t="shared" si="113"/>
        <v>1075</v>
      </c>
      <c r="P378" s="119"/>
      <c r="Q378" s="120"/>
    </row>
    <row r="379" spans="1:22" x14ac:dyDescent="0.2">
      <c r="B379" s="123">
        <v>56888</v>
      </c>
      <c r="C379" s="119">
        <v>0</v>
      </c>
      <c r="D379" s="119">
        <v>0</v>
      </c>
      <c r="E379" s="119">
        <v>0</v>
      </c>
      <c r="F379" s="119">
        <v>0</v>
      </c>
      <c r="G379" s="120"/>
      <c r="H379" s="120"/>
      <c r="I379" s="119">
        <f t="shared" ref="I379" si="114">I377</f>
        <v>1075</v>
      </c>
      <c r="J379" s="120"/>
      <c r="K379" s="119"/>
      <c r="L379" s="119"/>
      <c r="M379" s="119"/>
      <c r="N379" s="119"/>
      <c r="O379" s="125">
        <f t="shared" si="113"/>
        <v>1075</v>
      </c>
      <c r="P379" s="119"/>
      <c r="Q379" s="120"/>
    </row>
    <row r="380" spans="1:22" x14ac:dyDescent="0.2">
      <c r="B380" s="123">
        <v>56919</v>
      </c>
      <c r="C380" s="119">
        <v>0</v>
      </c>
      <c r="D380" s="119">
        <v>0</v>
      </c>
      <c r="E380" s="119">
        <v>0</v>
      </c>
      <c r="F380" s="119">
        <v>0</v>
      </c>
      <c r="G380" s="120"/>
      <c r="H380" s="120"/>
      <c r="I380" s="119">
        <f>I379</f>
        <v>1075</v>
      </c>
      <c r="J380" s="120"/>
      <c r="K380" s="119"/>
      <c r="L380" s="119"/>
      <c r="M380" s="119"/>
      <c r="N380" s="119"/>
      <c r="O380" s="125">
        <f t="shared" si="113"/>
        <v>1075</v>
      </c>
      <c r="P380" s="119"/>
      <c r="Q380" s="120"/>
    </row>
    <row r="381" spans="1:22" x14ac:dyDescent="0.2">
      <c r="A381">
        <v>30</v>
      </c>
      <c r="B381" s="123">
        <v>56949</v>
      </c>
      <c r="C381" s="119">
        <v>0</v>
      </c>
      <c r="D381" s="119">
        <v>0</v>
      </c>
      <c r="E381" s="119">
        <v>0</v>
      </c>
      <c r="F381" s="119">
        <v>0</v>
      </c>
      <c r="G381" s="120"/>
      <c r="H381" s="120"/>
      <c r="I381" s="118">
        <v>1075</v>
      </c>
      <c r="J381" s="118">
        <f>(I381/$J$2)/0.66</f>
        <v>20.359848484848484</v>
      </c>
      <c r="K381" s="118">
        <f>SUM(E370:E381)</f>
        <v>0</v>
      </c>
      <c r="L381" s="118">
        <f>SUM(I370:I381)-SUM(D370:D381)</f>
        <v>12900</v>
      </c>
      <c r="M381" s="118"/>
      <c r="N381" s="118">
        <v>2500</v>
      </c>
      <c r="O381" s="119">
        <f>I381-D381</f>
        <v>1075</v>
      </c>
      <c r="P381" s="118">
        <f>SUM(O370:O381)+M381+N381</f>
        <v>15400</v>
      </c>
      <c r="Q381" s="118">
        <f>L381+M381+N381</f>
        <v>15400</v>
      </c>
    </row>
    <row r="383" spans="1:22" ht="6.75" customHeight="1" x14ac:dyDescent="0.2">
      <c r="B383" s="5"/>
      <c r="C383" s="127"/>
      <c r="D383" s="5"/>
      <c r="E383" s="5"/>
      <c r="F383" s="127"/>
      <c r="G383" s="5"/>
      <c r="H383" s="5"/>
      <c r="I383" s="127"/>
      <c r="J383" s="5"/>
      <c r="K383" s="127"/>
      <c r="L383" s="127"/>
      <c r="M383" s="127"/>
      <c r="N383" s="127"/>
      <c r="O383" s="127"/>
      <c r="P383" s="127"/>
      <c r="Q383" s="5"/>
      <c r="R383" s="5"/>
      <c r="S383" s="5"/>
      <c r="T383" s="5"/>
      <c r="U383" s="5"/>
      <c r="V383" s="5"/>
    </row>
    <row r="384" spans="1:22" x14ac:dyDescent="0.2">
      <c r="B384" s="90" t="s">
        <v>27</v>
      </c>
      <c r="D384" s="135">
        <f>SUM(D10:D381)</f>
        <v>161220.44995776404</v>
      </c>
      <c r="E384" s="111">
        <f>SUM(E4:E213)</f>
        <v>129588.75261213109</v>
      </c>
      <c r="F384" s="111">
        <f>SUM(F4:F213)</f>
        <v>259208.08000000002</v>
      </c>
      <c r="G384" s="111">
        <f>SUM(G3:G213)</f>
        <v>74338.8</v>
      </c>
      <c r="H384" s="111">
        <f>SUM(H2:H213)</f>
        <v>21661.200000000001</v>
      </c>
      <c r="I384" s="135">
        <f>SUM(I10:I381)</f>
        <v>316875</v>
      </c>
      <c r="J384" s="1"/>
      <c r="K384" s="111">
        <f>SUM(K2:K213)</f>
        <v>203927.55261213117</v>
      </c>
      <c r="L384" s="111">
        <f>SUM(L6:L381)</f>
        <v>151785.4700422358</v>
      </c>
      <c r="M384" s="111">
        <f>SUM(M2:M213)</f>
        <v>1840</v>
      </c>
      <c r="N384" s="135">
        <f>SUM(N6:N381)</f>
        <v>76073</v>
      </c>
      <c r="O384" s="111"/>
      <c r="P384" s="111">
        <f>SUM(P6:P381)</f>
        <v>208240.27004223579</v>
      </c>
      <c r="Q384" s="111">
        <f>SUM(Q6:Q381)</f>
        <v>208037.27004223579</v>
      </c>
      <c r="R384" s="113">
        <f>SUM(R4:R213)/17</f>
        <v>0.37523902582127805</v>
      </c>
      <c r="S384" s="86"/>
    </row>
    <row r="385" spans="3:19" x14ac:dyDescent="0.2">
      <c r="G385" s="90"/>
      <c r="S385" s="61"/>
    </row>
    <row r="386" spans="3:19" x14ac:dyDescent="0.2">
      <c r="E386" t="s">
        <v>222</v>
      </c>
      <c r="F386" s="90" t="s">
        <v>223</v>
      </c>
    </row>
    <row r="387" spans="3:19" x14ac:dyDescent="0.2">
      <c r="C387" s="90" t="s">
        <v>220</v>
      </c>
      <c r="D387" t="s">
        <v>40</v>
      </c>
      <c r="E387" s="90">
        <f>(I384*1.1)</f>
        <v>348562.5</v>
      </c>
      <c r="F387" s="90">
        <f>(I384*1.1)</f>
        <v>348562.5</v>
      </c>
    </row>
    <row r="388" spans="3:19" x14ac:dyDescent="0.2">
      <c r="D388" t="s">
        <v>180</v>
      </c>
      <c r="E388" s="90">
        <f>D384*0.9</f>
        <v>145098.40496198763</v>
      </c>
      <c r="F388" s="90">
        <f>87512*0.9</f>
        <v>78760.800000000003</v>
      </c>
    </row>
    <row r="389" spans="3:19" x14ac:dyDescent="0.2">
      <c r="D389" t="s">
        <v>216</v>
      </c>
      <c r="E389" s="90">
        <f>9062*0.9*30</f>
        <v>244674</v>
      </c>
      <c r="F389" s="90">
        <f>9062*0.9*30</f>
        <v>244674</v>
      </c>
    </row>
    <row r="390" spans="3:19" x14ac:dyDescent="0.2">
      <c r="D390" t="s">
        <v>103</v>
      </c>
      <c r="E390" s="90">
        <f>(500*30)*0.9</f>
        <v>13500</v>
      </c>
      <c r="F390" s="90">
        <f>(500*30)*0.9</f>
        <v>13500</v>
      </c>
    </row>
    <row r="391" spans="3:19" x14ac:dyDescent="0.2">
      <c r="C391" s="90" t="s">
        <v>221</v>
      </c>
      <c r="E391" s="90">
        <f>E387-E388-E389-E390</f>
        <v>-54709.904961987631</v>
      </c>
      <c r="F391" s="90">
        <f>F387-F388-F389-F390</f>
        <v>11627.700000000012</v>
      </c>
    </row>
    <row r="400" spans="3:19" x14ac:dyDescent="0.2">
      <c r="H400">
        <v>360000</v>
      </c>
      <c r="I400" s="63">
        <v>0.8</v>
      </c>
      <c r="J400" s="136"/>
      <c r="K400" s="90">
        <f>H400*I400</f>
        <v>288000</v>
      </c>
      <c r="L400" s="63">
        <v>0.03</v>
      </c>
      <c r="M400" s="90">
        <f>K400*L400</f>
        <v>8640</v>
      </c>
      <c r="N400" s="90">
        <f>M400*30</f>
        <v>259200</v>
      </c>
    </row>
    <row r="401" spans="14:14" x14ac:dyDescent="0.2">
      <c r="N401" s="90">
        <f>N400*0.3</f>
        <v>77760</v>
      </c>
    </row>
  </sheetData>
  <conditionalFormatting sqref="L2:L3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38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Finanzen_Overall</vt:lpstr>
      <vt:lpstr>Haushalt (Cash)</vt:lpstr>
      <vt:lpstr>Finanzierung&amp;Mietkalkulation</vt:lpstr>
      <vt:lpstr>(SOLL) Prognosekurve</vt:lpstr>
      <vt:lpstr>(SOLL) Prognosekurve (mit AVD)</vt:lpstr>
      <vt:lpstr>TilgungsRechner</vt:lpstr>
      <vt:lpstr>Alternativszenario 1</vt:lpstr>
      <vt:lpstr>Alternativszenario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Mielke Tobias</dc:creator>
  <cp:lastModifiedBy>Mielke Tobias, TG-1-S</cp:lastModifiedBy>
  <dcterms:created xsi:type="dcterms:W3CDTF">2017-04-11T13:31:28Z</dcterms:created>
  <dcterms:modified xsi:type="dcterms:W3CDTF">2026-07-07T07:42:48Z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935750-240b-48e4-a615-66942a738439_Enabled">
    <vt:lpwstr>true</vt:lpwstr>
  </property>
  <property fmtid="{D5CDD505-2E9C-101B-9397-08002B2CF9AE}" pid="3" name="MSIP_Label_e6935750-240b-48e4-a615-66942a738439_SetDate">
    <vt:lpwstr>2025-03-24T11:20:20Z</vt:lpwstr>
  </property>
  <property fmtid="{D5CDD505-2E9C-101B-9397-08002B2CF9AE}" pid="4" name="MSIP_Label_e6935750-240b-48e4-a615-66942a738439_Method">
    <vt:lpwstr>Standard</vt:lpwstr>
  </property>
  <property fmtid="{D5CDD505-2E9C-101B-9397-08002B2CF9AE}" pid="5" name="MSIP_Label_e6935750-240b-48e4-a615-66942a738439_Name">
    <vt:lpwstr>e6935750-240b-48e4-a615-66942a738439</vt:lpwstr>
  </property>
  <property fmtid="{D5CDD505-2E9C-101B-9397-08002B2CF9AE}" pid="6" name="MSIP_Label_e6935750-240b-48e4-a615-66942a738439_SiteId">
    <vt:lpwstr>ce849bab-cc1c-465b-b62e-18f07c9ac198</vt:lpwstr>
  </property>
  <property fmtid="{D5CDD505-2E9C-101B-9397-08002B2CF9AE}" pid="7" name="MSIP_Label_e6935750-240b-48e4-a615-66942a738439_ActionId">
    <vt:lpwstr>bc97e4b2-3ea1-4a3e-a459-a36f48547b66</vt:lpwstr>
  </property>
  <property fmtid="{D5CDD505-2E9C-101B-9397-08002B2CF9AE}" pid="8" name="MSIP_Label_e6935750-240b-48e4-a615-66942a738439_ContentBits">
    <vt:lpwstr>2</vt:lpwstr>
  </property>
</Properties>
</file>